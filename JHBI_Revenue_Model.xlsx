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— Path to $1M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(0.0%);&quot;-&quot;"/>
    <numFmt numFmtId="166" formatCode="$#,##0;($#,##0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008000"/>
      <sz val="10"/>
    </font>
    <font>
      <name val="Arial"/>
      <b val="1"/>
      <color rgb="00000000"/>
      <sz val="10"/>
    </font>
    <font>
      <name val="Arial"/>
      <color rgb="00FFFFFF"/>
      <sz val="8"/>
    </font>
    <font>
      <name val="Arial"/>
      <color rgb="00BFBFB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008000"/>
      <sz val="10"/>
    </font>
  </fonts>
  <fills count="15">
    <fill>
      <patternFill/>
    </fill>
    <fill>
      <patternFill patternType="gray125"/>
    </fill>
    <fill>
      <patternFill patternType="solid">
        <fgColor rgb="0006185F"/>
        <bgColor rgb="0006185F"/>
      </patternFill>
    </fill>
    <fill>
      <patternFill patternType="solid">
        <fgColor rgb="00F5F5F5"/>
        <bgColor rgb="00F5F5F5"/>
      </patternFill>
    </fill>
    <fill>
      <patternFill patternType="solid">
        <fgColor rgb="00085CE5"/>
        <bgColor rgb="00085CE5"/>
      </patternFill>
    </fill>
    <fill>
      <patternFill patternType="solid">
        <fgColor rgb="00FFFF00"/>
        <bgColor rgb="00FFFF00"/>
      </patternFill>
    </fill>
    <fill>
      <patternFill patternType="solid">
        <fgColor rgb="00073FA8"/>
        <bgColor rgb="00073FA8"/>
      </patternFill>
    </fill>
    <fill>
      <patternFill patternType="solid">
        <fgColor rgb="00DCE6F1"/>
        <bgColor rgb="00DCE6F1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0D2E7A"/>
        <bgColor rgb="000D2E7A"/>
      </patternFill>
    </fill>
    <fill>
      <patternFill patternType="solid">
        <fgColor rgb="00575A5D"/>
        <bgColor rgb="00575A5D"/>
      </patternFill>
    </fill>
    <fill>
      <patternFill patternType="solid">
        <fgColor rgb="001B7FA7"/>
        <bgColor rgb="001B7FA7"/>
      </patternFill>
    </fill>
    <fill>
      <patternFill patternType="solid">
        <fgColor rgb="00FFC000"/>
        <bgColor rgb="00FFC00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166" fontId="8" fillId="7" borderId="1" applyAlignment="1" pivotButton="0" quotePrefix="0" xfId="0">
      <alignment horizontal="center" vertical="center" wrapText="1"/>
    </xf>
    <xf numFmtId="166" fontId="9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166" fontId="8" fillId="8" borderId="1" applyAlignment="1" pivotButton="0" quotePrefix="0" xfId="0">
      <alignment horizontal="center" vertical="center" wrapText="1"/>
    </xf>
    <xf numFmtId="166" fontId="9" fillId="8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166" fontId="14" fillId="1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7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166" fontId="4" fillId="8" borderId="1" applyAlignment="1" pivotButton="0" quotePrefix="0" xfId="0">
      <alignment horizontal="center" vertical="center" wrapText="1"/>
    </xf>
    <xf numFmtId="166" fontId="9" fillId="10" borderId="1" applyAlignment="1" pivotButton="0" quotePrefix="0" xfId="0">
      <alignment horizontal="center" vertical="center" wrapText="1"/>
    </xf>
    <xf numFmtId="0" fontId="0" fillId="2" borderId="1" pivotButton="0" quotePrefix="0" xfId="0"/>
    <xf numFmtId="166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164" fontId="11" fillId="8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/>
    </xf>
    <xf numFmtId="166" fontId="1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2" customWidth="1" min="8" max="8"/>
    <col width="26" customWidth="1" min="9" max="9"/>
  </cols>
  <sheetData>
    <row r="1" ht="30" customHeight="1">
      <c r="A1" s="1" t="inlineStr">
        <is>
          <t>JHBI DS Apps  —  Path to $1M ARR</t>
        </is>
      </c>
    </row>
    <row r="2" ht="16" customHeight="1">
      <c r="A2" s="2" t="inlineStr">
        <is>
          <t xml:space="preserve">   Combined JHBI ARR: DS Apps + Platform Migration Uplift (JHAKnow + ARCU → JHBI).  Milestone: Q4 FY27 combined.  All values from Revenue Model.</t>
        </is>
      </c>
    </row>
    <row r="4" ht="18" customHeight="1">
      <c r="A4" s="3" t="inlineStr">
        <is>
          <t>QUARTERLY ARR SUMMARY</t>
        </is>
      </c>
      <c r="B4" s="4" t="n"/>
      <c r="C4" s="4" t="n"/>
      <c r="D4" s="4" t="n"/>
      <c r="E4" s="4" t="n"/>
      <c r="F4" s="4" t="n"/>
      <c r="G4" s="4" t="n"/>
      <c r="H4" s="4" t="n"/>
    </row>
    <row r="5" ht="18" customHeight="1">
      <c r="A5" s="5" t="inlineStr">
        <is>
          <t>Quarter</t>
        </is>
      </c>
      <c r="B5" s="5" t="inlineStr">
        <is>
          <t>Calendar</t>
        </is>
      </c>
      <c r="C5" s="5" t="inlineStr">
        <is>
          <t>Zelle Memo ARR</t>
        </is>
      </c>
      <c r="D5" s="5" t="inlineStr">
        <is>
          <t>Churn Sentinel ARR</t>
        </is>
      </c>
      <c r="E5" s="5" t="inlineStr">
        <is>
          <t>CommercialSignal ARR</t>
        </is>
      </c>
      <c r="F5" s="5" t="inlineStr">
        <is>
          <t>Gen. Wealth ARR</t>
        </is>
      </c>
      <c r="G5" s="5" t="inlineStr">
        <is>
          <t>Anomaly ARR</t>
        </is>
      </c>
      <c r="H5" s="5" t="inlineStr">
        <is>
          <t>Platform Migration ARR</t>
        </is>
      </c>
      <c r="I5" s="5" t="inlineStr">
        <is>
          <t>Total JHBI ARR</t>
        </is>
      </c>
    </row>
    <row r="6" ht="18" customHeight="1">
      <c r="A6" s="6" t="inlineStr">
        <is>
          <t>Q3 FY26</t>
        </is>
      </c>
      <c r="B6" s="7" t="inlineStr">
        <is>
          <t>Jan–Mar 2026</t>
        </is>
      </c>
      <c r="C6" s="8">
        <f>'Revenue Model'!C8</f>
        <v/>
      </c>
      <c r="D6" s="8">
        <f>'Revenue Model'!C13</f>
        <v/>
      </c>
      <c r="E6" s="8">
        <f>'Revenue Model'!C18</f>
        <v/>
      </c>
      <c r="F6" s="8">
        <f>'Revenue Model'!C23</f>
        <v/>
      </c>
      <c r="G6" s="8">
        <f>'Revenue Model'!C28</f>
        <v/>
      </c>
      <c r="H6" s="8">
        <f>'Revenue Model'!C33</f>
        <v/>
      </c>
      <c r="I6" s="9">
        <f>'Revenue Model'!C37</f>
        <v/>
      </c>
    </row>
    <row r="7" ht="18" customHeight="1">
      <c r="A7" s="10" t="inlineStr">
        <is>
          <t>Q4 FY26</t>
        </is>
      </c>
      <c r="B7" s="11" t="inlineStr">
        <is>
          <t>Apr–Jun 2026</t>
        </is>
      </c>
      <c r="C7" s="12">
        <f>'Revenue Model'!D8</f>
        <v/>
      </c>
      <c r="D7" s="12">
        <f>'Revenue Model'!D13</f>
        <v/>
      </c>
      <c r="E7" s="12">
        <f>'Revenue Model'!D18</f>
        <v/>
      </c>
      <c r="F7" s="12">
        <f>'Revenue Model'!D23</f>
        <v/>
      </c>
      <c r="G7" s="12">
        <f>'Revenue Model'!D28</f>
        <v/>
      </c>
      <c r="H7" s="12">
        <f>'Revenue Model'!D33</f>
        <v/>
      </c>
      <c r="I7" s="13">
        <f>'Revenue Model'!D37</f>
        <v/>
      </c>
    </row>
    <row r="8" ht="18" customHeight="1">
      <c r="A8" s="6" t="inlineStr">
        <is>
          <t>Q1 FY27</t>
        </is>
      </c>
      <c r="B8" s="7" t="inlineStr">
        <is>
          <t>Jul–Sep 2026</t>
        </is>
      </c>
      <c r="C8" s="8">
        <f>'Revenue Model'!E8</f>
        <v/>
      </c>
      <c r="D8" s="8">
        <f>'Revenue Model'!E13</f>
        <v/>
      </c>
      <c r="E8" s="8">
        <f>'Revenue Model'!E18</f>
        <v/>
      </c>
      <c r="F8" s="8">
        <f>'Revenue Model'!E23</f>
        <v/>
      </c>
      <c r="G8" s="8">
        <f>'Revenue Model'!E28</f>
        <v/>
      </c>
      <c r="H8" s="8">
        <f>'Revenue Model'!E33</f>
        <v/>
      </c>
      <c r="I8" s="9">
        <f>'Revenue Model'!E37</f>
        <v/>
      </c>
    </row>
    <row r="9" ht="18" customHeight="1">
      <c r="A9" s="10" t="inlineStr">
        <is>
          <t>Q2 FY27</t>
        </is>
      </c>
      <c r="B9" s="11" t="inlineStr">
        <is>
          <t>Oct–Dec 2026</t>
        </is>
      </c>
      <c r="C9" s="12">
        <f>'Revenue Model'!F8</f>
        <v/>
      </c>
      <c r="D9" s="12">
        <f>'Revenue Model'!F13</f>
        <v/>
      </c>
      <c r="E9" s="12">
        <f>'Revenue Model'!F18</f>
        <v/>
      </c>
      <c r="F9" s="12">
        <f>'Revenue Model'!F23</f>
        <v/>
      </c>
      <c r="G9" s="12">
        <f>'Revenue Model'!F28</f>
        <v/>
      </c>
      <c r="H9" s="12">
        <f>'Revenue Model'!F33</f>
        <v/>
      </c>
      <c r="I9" s="13">
        <f>'Revenue Model'!F37</f>
        <v/>
      </c>
    </row>
    <row r="10" ht="18" customHeight="1">
      <c r="A10" s="6" t="inlineStr">
        <is>
          <t>Q3 FY27</t>
        </is>
      </c>
      <c r="B10" s="7" t="inlineStr">
        <is>
          <t>Jan–Mar 2027</t>
        </is>
      </c>
      <c r="C10" s="8">
        <f>'Revenue Model'!G8</f>
        <v/>
      </c>
      <c r="D10" s="8">
        <f>'Revenue Model'!G13</f>
        <v/>
      </c>
      <c r="E10" s="8">
        <f>'Revenue Model'!G18</f>
        <v/>
      </c>
      <c r="F10" s="8">
        <f>'Revenue Model'!G23</f>
        <v/>
      </c>
      <c r="G10" s="8">
        <f>'Revenue Model'!G28</f>
        <v/>
      </c>
      <c r="H10" s="8">
        <f>'Revenue Model'!G33</f>
        <v/>
      </c>
      <c r="I10" s="9">
        <f>'Revenue Model'!G37</f>
        <v/>
      </c>
    </row>
    <row r="11" ht="22" customHeight="1">
      <c r="A11" s="14" t="inlineStr">
        <is>
          <t>Q4 FY27</t>
        </is>
      </c>
      <c r="B11" s="15" t="inlineStr">
        <is>
          <t>Apr–Jun 2027</t>
        </is>
      </c>
      <c r="C11" s="16">
        <f>'Revenue Model'!H8</f>
        <v/>
      </c>
      <c r="D11" s="16">
        <f>'Revenue Model'!H13</f>
        <v/>
      </c>
      <c r="E11" s="16">
        <f>'Revenue Model'!H18</f>
        <v/>
      </c>
      <c r="F11" s="16">
        <f>'Revenue Model'!H23</f>
        <v/>
      </c>
      <c r="G11" s="16">
        <f>'Revenue Model'!H28</f>
        <v/>
      </c>
      <c r="H11" s="16">
        <f>'Revenue Model'!H33</f>
        <v/>
      </c>
      <c r="I11" s="17">
        <f>'Revenue Model'!H37</f>
        <v/>
      </c>
    </row>
    <row r="12" ht="18" customHeight="1">
      <c r="A12" s="6" t="inlineStr">
        <is>
          <t>Q1 FY28</t>
        </is>
      </c>
      <c r="B12" s="7" t="inlineStr">
        <is>
          <t>Jul–Sep 2027</t>
        </is>
      </c>
      <c r="C12" s="8">
        <f>'Revenue Model'!I8</f>
        <v/>
      </c>
      <c r="D12" s="8">
        <f>'Revenue Model'!I13</f>
        <v/>
      </c>
      <c r="E12" s="8">
        <f>'Revenue Model'!I18</f>
        <v/>
      </c>
      <c r="F12" s="8">
        <f>'Revenue Model'!I23</f>
        <v/>
      </c>
      <c r="G12" s="8">
        <f>'Revenue Model'!I28</f>
        <v/>
      </c>
      <c r="H12" s="8">
        <f>'Revenue Model'!I33</f>
        <v/>
      </c>
      <c r="I12" s="9">
        <f>'Revenue Model'!I37</f>
        <v/>
      </c>
    </row>
    <row r="13" ht="18" customHeight="1">
      <c r="A13" s="10" t="inlineStr">
        <is>
          <t>Q2 FY28</t>
        </is>
      </c>
      <c r="B13" s="11" t="inlineStr">
        <is>
          <t>Oct–Dec 2027</t>
        </is>
      </c>
      <c r="C13" s="12">
        <f>'Revenue Model'!J8</f>
        <v/>
      </c>
      <c r="D13" s="12">
        <f>'Revenue Model'!J13</f>
        <v/>
      </c>
      <c r="E13" s="12">
        <f>'Revenue Model'!J18</f>
        <v/>
      </c>
      <c r="F13" s="12">
        <f>'Revenue Model'!J23</f>
        <v/>
      </c>
      <c r="G13" s="12">
        <f>'Revenue Model'!J28</f>
        <v/>
      </c>
      <c r="H13" s="12">
        <f>'Revenue Model'!J33</f>
        <v/>
      </c>
      <c r="I13" s="13">
        <f>'Revenue Model'!J37</f>
        <v/>
      </c>
    </row>
    <row r="14" ht="18" customHeight="1">
      <c r="A14" s="18" t="inlineStr">
        <is>
          <t>★ Combined JHBI ARR (DS Apps + Migration) crosses $1M in Q4 FY27 (Apr–Jun 2027)  |  DS Apps alone: $1M in Q1 FY28  |  Migration: 10% uplift placeholder on 300 JHAKnow/ARCU FIs</t>
        </is>
      </c>
      <c r="B14" s="19" t="n"/>
      <c r="C14" s="19" t="n"/>
      <c r="D14" s="19" t="n"/>
      <c r="E14" s="19" t="n"/>
      <c r="F14" s="19" t="n"/>
      <c r="G14" s="19" t="n"/>
      <c r="H14" s="19" t="n"/>
      <c r="I14" s="20" t="n"/>
    </row>
    <row r="16" ht="18" customHeight="1">
      <c r="A16" s="3" t="inlineStr">
        <is>
          <t>KEY ASSUMPTIONS DRIVING THE MODEL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 ht="18" customHeight="1">
      <c r="A17" s="21" t="inlineStr">
        <is>
          <t>Total JH Addressable FIs</t>
        </is>
      </c>
      <c r="B17" s="19" t="n"/>
      <c r="C17" s="19" t="n"/>
      <c r="D17" s="20" t="n"/>
      <c r="E17" s="22" t="inlineStr">
        <is>
          <t>1,660</t>
        </is>
      </c>
      <c r="F17" s="23" t="inlineStr">
        <is>
          <t>Contracted core banking FIs (44% CU / 56% Bank)</t>
        </is>
      </c>
      <c r="G17" s="19" t="n"/>
      <c r="H17" s="19" t="n"/>
      <c r="I17" s="20" t="n"/>
    </row>
    <row r="18" ht="18" customHeight="1">
      <c r="A18" s="24" t="inlineStr">
        <is>
          <t>CU Share</t>
        </is>
      </c>
      <c r="B18" s="19" t="n"/>
      <c r="C18" s="19" t="n"/>
      <c r="D18" s="20" t="n"/>
      <c r="E18" s="22" t="inlineStr">
        <is>
          <t>44%</t>
        </is>
      </c>
      <c r="F18" s="25" t="inlineStr">
        <is>
          <t>Symitar / credit union base</t>
        </is>
      </c>
      <c r="G18" s="19" t="n"/>
      <c r="H18" s="19" t="n"/>
      <c r="I18" s="20" t="n"/>
    </row>
    <row r="19" ht="18" customHeight="1">
      <c r="A19" s="21" t="inlineStr">
        <is>
          <t>CU Discount</t>
        </is>
      </c>
      <c r="B19" s="19" t="n"/>
      <c r="C19" s="19" t="n"/>
      <c r="D19" s="20" t="n"/>
      <c r="E19" s="22" t="inlineStr">
        <is>
          <t>12%</t>
        </is>
      </c>
      <c r="F19" s="23" t="inlineStr">
        <is>
          <t>Cooperative budget accommodation</t>
        </is>
      </c>
      <c r="G19" s="19" t="n"/>
      <c r="H19" s="19" t="n"/>
      <c r="I19" s="20" t="n"/>
    </row>
    <row r="20" ht="18" customHeight="1">
      <c r="A20" s="24" t="inlineStr">
        <is>
          <t>Zelle Penetration</t>
        </is>
      </c>
      <c r="B20" s="19" t="n"/>
      <c r="C20" s="19" t="n"/>
      <c r="D20" s="20" t="n"/>
      <c r="E20" s="22" t="inlineStr">
        <is>
          <t>15.7%</t>
        </is>
      </c>
      <c r="F20" s="25" t="inlineStr">
        <is>
          <t>260 of ~1,660 JH core FIs currently Zelle-enabled</t>
        </is>
      </c>
      <c r="G20" s="19" t="n"/>
      <c r="H20" s="19" t="n"/>
      <c r="I20" s="20" t="n"/>
    </row>
    <row r="21" ht="18" customHeight="1">
      <c r="A21" s="21" t="inlineStr">
        <is>
          <t>Annual DS App Churn</t>
        </is>
      </c>
      <c r="B21" s="19" t="n"/>
      <c r="C21" s="19" t="n"/>
      <c r="D21" s="20" t="n"/>
      <c r="E21" s="22" t="inlineStr">
        <is>
          <t>8%</t>
        </is>
      </c>
      <c r="F21" s="23" t="inlineStr">
        <is>
          <t>FI churn on DS app subscriptions (2% quarterly)</t>
        </is>
      </c>
      <c r="G21" s="19" t="n"/>
      <c r="H21" s="19" t="n"/>
      <c r="I21" s="20" t="n"/>
    </row>
    <row r="22" ht="18" customHeight="1">
      <c r="A22" s="24" t="inlineStr">
        <is>
          <t>Migration FIs (JHAKnow + ARCU)</t>
        </is>
      </c>
      <c r="B22" s="19" t="n"/>
      <c r="C22" s="19" t="n"/>
      <c r="D22" s="20" t="n"/>
      <c r="E22" s="22" t="inlineStr">
        <is>
          <t>300</t>
        </is>
      </c>
      <c r="F22" s="25" t="inlineStr">
        <is>
          <t>150 bank (JHAKnow) + 150 CU (ARCU); nominal uplift placeholder</t>
        </is>
      </c>
      <c r="G22" s="19" t="n"/>
      <c r="H22" s="19" t="n"/>
      <c r="I22" s="20" t="n"/>
    </row>
    <row r="23" ht="18" customHeight="1">
      <c r="A23" s="21" t="inlineStr">
        <is>
          <t>Platform Uplift %</t>
        </is>
      </c>
      <c r="B23" s="19" t="n"/>
      <c r="C23" s="19" t="n"/>
      <c r="D23" s="20" t="n"/>
      <c r="E23" s="22" t="inlineStr">
        <is>
          <t>10%</t>
        </is>
      </c>
      <c r="F23" s="23" t="inlineStr">
        <is>
          <t>Placeholder — not finalized; adjust in Section 6 of Assumptions</t>
        </is>
      </c>
      <c r="G23" s="19" t="n"/>
      <c r="H23" s="19" t="n"/>
      <c r="I23" s="20" t="n"/>
    </row>
    <row r="24" ht="18" customHeight="1">
      <c r="A24" s="24" t="inlineStr">
        <is>
          <t>★ Combined $1M Milestone</t>
        </is>
      </c>
      <c r="B24" s="19" t="n"/>
      <c r="C24" s="19" t="n"/>
      <c r="D24" s="20" t="n"/>
      <c r="E24" s="22" t="inlineStr">
        <is>
          <t>Q4 FY27</t>
        </is>
      </c>
      <c r="F24" s="25" t="inlineStr">
        <is>
          <t>DS Apps ($910K) + Platform Migration ($282K) = $1.19M ARR</t>
        </is>
      </c>
      <c r="G24" s="19" t="n"/>
      <c r="H24" s="19" t="n"/>
      <c r="I24" s="20" t="n"/>
    </row>
    <row r="25" ht="18" customHeight="1">
      <c r="A25" s="21" t="inlineStr">
        <is>
          <t>DS Apps Alone $1M Milestone</t>
        </is>
      </c>
      <c r="B25" s="19" t="n"/>
      <c r="C25" s="19" t="n"/>
      <c r="D25" s="20" t="n"/>
      <c r="E25" s="22" t="inlineStr">
        <is>
          <t>Q1 FY28</t>
        </is>
      </c>
      <c r="F25" s="23" t="inlineStr">
        <is>
          <t>$1.25M ARR from 4 apps, 102 active FI subscriptions, 6.1% penetration</t>
        </is>
      </c>
      <c r="G25" s="19" t="n"/>
      <c r="H25" s="19" t="n"/>
      <c r="I25" s="20" t="n"/>
    </row>
  </sheetData>
  <mergeCells count="21">
    <mergeCell ref="A17:D17"/>
    <mergeCell ref="A23:D23"/>
    <mergeCell ref="A22:D22"/>
    <mergeCell ref="A20:D20"/>
    <mergeCell ref="A19:D19"/>
    <mergeCell ref="A1:H1"/>
    <mergeCell ref="A14:I14"/>
    <mergeCell ref="A24:D24"/>
    <mergeCell ref="F19:I19"/>
    <mergeCell ref="F25:I25"/>
    <mergeCell ref="A2:H2"/>
    <mergeCell ref="F24:I24"/>
    <mergeCell ref="F21:I21"/>
    <mergeCell ref="A25:D25"/>
    <mergeCell ref="F20:I20"/>
    <mergeCell ref="F18:I18"/>
    <mergeCell ref="A18:D18"/>
    <mergeCell ref="F17:I17"/>
    <mergeCell ref="A21:D21"/>
    <mergeCell ref="F23:I23"/>
    <mergeCell ref="F22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28" customWidth="1" min="7" max="7"/>
  </cols>
  <sheetData>
    <row r="1" ht="30" customHeight="1">
      <c r="A1" s="1" t="inlineStr">
        <is>
          <t>JHBI Revenue Model  —  Assumptions &amp; Inputs</t>
        </is>
      </c>
    </row>
    <row r="2" ht="16" customHeight="1">
      <c r="A2" s="26" t="inlineStr">
        <is>
          <t xml:space="preserve">   ■ Blue = Hardcoded input (editable)    ■ Black = Formula    ■ Yellow bg = Key assumption</t>
        </is>
      </c>
    </row>
    <row r="4" ht="18" customHeight="1">
      <c r="A4" s="3" t="inlineStr">
        <is>
          <t>SECTION 1 — MARKET PARAMETERS</t>
        </is>
      </c>
      <c r="B4" s="4" t="n"/>
      <c r="C4" s="4" t="n"/>
      <c r="D4" s="4" t="n"/>
      <c r="E4" s="4" t="n"/>
      <c r="F4" s="4" t="n"/>
      <c r="G4" s="4" t="n"/>
    </row>
    <row r="5" ht="18" customHeight="1">
      <c r="A5" s="27" t="inlineStr">
        <is>
          <t>Total Addressable FIs (JH Core)</t>
        </is>
      </c>
      <c r="B5" s="28" t="n">
        <v>1660</v>
      </c>
      <c r="G5" s="29" t="inlineStr">
        <is>
          <t>JH ~1,660 contracted core banking FIs (banks + CUs)</t>
        </is>
      </c>
    </row>
    <row r="6" ht="18" customHeight="1">
      <c r="A6" s="27" t="inlineStr">
        <is>
          <t>CU Share of Base</t>
        </is>
      </c>
      <c r="B6" s="30" t="n">
        <v>0.44</v>
      </c>
      <c r="G6" s="29" t="inlineStr">
        <is>
          <t>Est. Symitar/CU share; internal estimate</t>
        </is>
      </c>
    </row>
    <row r="7" ht="18" customHeight="1">
      <c r="A7" s="27" t="inlineStr">
        <is>
          <t>Bank Share of Base</t>
        </is>
      </c>
      <c r="B7" s="31">
        <f>1-B6</f>
        <v/>
      </c>
      <c r="G7" s="29" t="inlineStr">
        <is>
          <t>Complement of CU share (formula-driven)</t>
        </is>
      </c>
    </row>
    <row r="8" ht="18" customHeight="1">
      <c r="A8" s="27" t="inlineStr">
        <is>
          <t>CU Discount Rate</t>
        </is>
      </c>
      <c r="B8" s="30" t="n">
        <v>0.12</v>
      </c>
      <c r="G8" s="29" t="inlineStr">
        <is>
          <t>Pricing accommodation for cooperative/NCUA budget cycles</t>
        </is>
      </c>
    </row>
    <row r="9" ht="18" customHeight="1">
      <c r="A9" s="27" t="inlineStr">
        <is>
          <t>Zelle Penetration (% of FIs)</t>
        </is>
      </c>
      <c r="B9" s="30" t="n">
        <v>0.157</v>
      </c>
      <c r="G9" s="29" t="inlineStr">
        <is>
          <t>260 of ~1,660 JH core FIs currently Zelle-enabled via JHA PayCenter</t>
        </is>
      </c>
    </row>
    <row r="10" ht="18" customHeight="1">
      <c r="A10" s="27" t="inlineStr">
        <is>
          <t>Annual Subscription Churn Rate</t>
        </is>
      </c>
      <c r="B10" s="30" t="n">
        <v>0.08</v>
      </c>
      <c r="G10" s="29" t="inlineStr">
        <is>
          <t>Annual FI churn on DS app subscriptions; adjust as needed</t>
        </is>
      </c>
    </row>
    <row r="12" ht="18" customHeight="1">
      <c r="A12" s="3" t="inlineStr">
        <is>
          <t>SECTION 2 — FI BASE BY ASSET TIER</t>
        </is>
      </c>
      <c r="B12" s="4" t="n"/>
      <c r="C12" s="4" t="n"/>
      <c r="D12" s="4" t="n"/>
      <c r="E12" s="4" t="n"/>
      <c r="F12" s="4" t="n"/>
      <c r="G12" s="4" t="n"/>
    </row>
    <row r="13" ht="18" customHeight="1">
      <c r="A13" s="5" t="inlineStr">
        <is>
          <t>Asset Tier</t>
        </is>
      </c>
      <c r="B13" s="5" t="inlineStr">
        <is>
          <t>Total FIs</t>
        </is>
      </c>
      <c r="C13" s="5" t="inlineStr">
        <is>
          <t>CU</t>
        </is>
      </c>
      <c r="D13" s="5" t="inlineStr">
        <is>
          <t>Bank</t>
        </is>
      </c>
      <c r="E13" s="5" t="inlineStr">
        <is>
          <t>Zelle-Enabled</t>
        </is>
      </c>
      <c r="F13" s="5" t="inlineStr"/>
      <c r="G13" s="5" t="inlineStr">
        <is>
          <t>Notes</t>
        </is>
      </c>
    </row>
    <row r="14" ht="18" customHeight="1">
      <c r="A14" s="21" t="inlineStr">
        <is>
          <t>&lt;$250M</t>
        </is>
      </c>
      <c r="B14" s="28" t="n">
        <v>500</v>
      </c>
      <c r="C14" s="32">
        <f>ROUND(B14*$B$6,0)</f>
        <v/>
      </c>
      <c r="D14" s="32">
        <f>B14-C14</f>
        <v/>
      </c>
      <c r="E14" s="32">
        <f>ROUND(B14*$B$9,0)</f>
        <v/>
      </c>
    </row>
    <row r="15" ht="18" customHeight="1">
      <c r="A15" s="24" t="inlineStr">
        <is>
          <t>$250M–$1B</t>
        </is>
      </c>
      <c r="B15" s="28" t="n">
        <v>800</v>
      </c>
      <c r="C15" s="33">
        <f>ROUND(B15*$B$6,0)</f>
        <v/>
      </c>
      <c r="D15" s="33">
        <f>B15-C15</f>
        <v/>
      </c>
      <c r="E15" s="33">
        <f>ROUND(B15*$B$9,0)</f>
        <v/>
      </c>
    </row>
    <row r="16" ht="18" customHeight="1">
      <c r="A16" s="21" t="inlineStr">
        <is>
          <t>$1B–$5B</t>
        </is>
      </c>
      <c r="B16" s="28" t="n">
        <v>280</v>
      </c>
      <c r="C16" s="32">
        <f>ROUND(B16*$B$6,0)</f>
        <v/>
      </c>
      <c r="D16" s="32">
        <f>B16-C16</f>
        <v/>
      </c>
      <c r="E16" s="32">
        <f>ROUND(B16*$B$9,0)</f>
        <v/>
      </c>
    </row>
    <row r="17" ht="18" customHeight="1">
      <c r="A17" s="24" t="inlineStr">
        <is>
          <t>$5B+</t>
        </is>
      </c>
      <c r="B17" s="28" t="n">
        <v>80</v>
      </c>
      <c r="C17" s="33">
        <f>ROUND(B17*$B$6,0)</f>
        <v/>
      </c>
      <c r="D17" s="33">
        <f>B17-C17</f>
        <v/>
      </c>
      <c r="E17" s="33">
        <f>ROUND(B17*$B$9,0)</f>
        <v/>
      </c>
    </row>
    <row r="18" ht="18" customHeight="1">
      <c r="A18" s="18" t="inlineStr">
        <is>
          <t>TOTAL</t>
        </is>
      </c>
      <c r="B18" s="34">
        <f>SUM(B14:B17)</f>
        <v/>
      </c>
      <c r="C18" s="34">
        <f>SUM(C14:C17)</f>
        <v/>
      </c>
      <c r="D18" s="34">
        <f>SUM(D14:D17)</f>
        <v/>
      </c>
      <c r="E18" s="34">
        <f>SUM(E14:E17)</f>
        <v/>
      </c>
    </row>
    <row r="20" ht="18" customHeight="1">
      <c r="A20" s="3" t="inlineStr">
        <is>
          <t>SECTION 3 — DS APP PRICING  (Annual per FI, add-on to JHBI platform)</t>
        </is>
      </c>
      <c r="B20" s="4" t="n"/>
      <c r="C20" s="4" t="n"/>
      <c r="D20" s="4" t="n"/>
      <c r="E20" s="4" t="n"/>
      <c r="F20" s="4" t="n"/>
      <c r="G20" s="4" t="n"/>
    </row>
    <row r="21" ht="18" customHeight="1">
      <c r="A21" s="5" t="inlineStr">
        <is>
          <t>App</t>
        </is>
      </c>
      <c r="B21" s="5" t="inlineStr">
        <is>
          <t>&lt;$250M (Bank)</t>
        </is>
      </c>
      <c r="C21" s="5" t="inlineStr">
        <is>
          <t>$250M–$1B (Bank)</t>
        </is>
      </c>
      <c r="D21" s="5" t="inlineStr">
        <is>
          <t>$1B–$5B (Bank)</t>
        </is>
      </c>
      <c r="E21" s="5" t="inlineStr">
        <is>
          <t>$5B+ (Bank)</t>
        </is>
      </c>
      <c r="F21" s="5" t="inlineStr"/>
      <c r="G21" s="5" t="inlineStr">
        <is>
          <t>Notes</t>
        </is>
      </c>
    </row>
    <row r="22" ht="18" customHeight="1">
      <c r="A22" s="21" t="inlineStr">
        <is>
          <t>Zelle Memo Intelligence</t>
        </is>
      </c>
      <c r="B22" s="35" t="n">
        <v>5000</v>
      </c>
      <c r="C22" s="35" t="n">
        <v>8000</v>
      </c>
      <c r="D22" s="35" t="n">
        <v>15000</v>
      </c>
      <c r="E22" s="35" t="n">
        <v>25000</v>
      </c>
      <c r="G22" s="36" t="inlineStr">
        <is>
          <t>Zelle-enabled FIs only (260 currently; ~15.7% of base)</t>
        </is>
      </c>
    </row>
    <row r="23" ht="18" customHeight="1">
      <c r="A23" s="24" t="inlineStr">
        <is>
          <t>Churn Sentinel</t>
        </is>
      </c>
      <c r="B23" s="35" t="n">
        <v>8000</v>
      </c>
      <c r="C23" s="35" t="n">
        <v>12000</v>
      </c>
      <c r="D23" s="35" t="n">
        <v>22000</v>
      </c>
      <c r="E23" s="35" t="n">
        <v>35000</v>
      </c>
      <c r="G23" s="36" t="inlineStr">
        <is>
          <t>Universal — all FI types, all tiers</t>
        </is>
      </c>
    </row>
    <row r="24" ht="18" customHeight="1">
      <c r="A24" s="21" t="inlineStr">
        <is>
          <t>CommercialSignal</t>
        </is>
      </c>
      <c r="B24" s="35" t="n">
        <v>6000</v>
      </c>
      <c r="C24" s="35" t="n">
        <v>10000</v>
      </c>
      <c r="D24" s="35" t="n">
        <v>18000</v>
      </c>
      <c r="E24" s="35" t="n">
        <v>28000</v>
      </c>
      <c r="G24" s="36" t="inlineStr">
        <is>
          <t>Universal — runs on ACH/payments data</t>
        </is>
      </c>
    </row>
    <row r="25" ht="18" customHeight="1">
      <c r="A25" s="24" t="inlineStr">
        <is>
          <t>Gen. Wealth Deflection</t>
        </is>
      </c>
      <c r="B25" s="35" t="n">
        <v>8000</v>
      </c>
      <c r="C25" s="35" t="n">
        <v>12000</v>
      </c>
      <c r="D25" s="35" t="n">
        <v>20000</v>
      </c>
      <c r="E25" s="35" t="n">
        <v>30000</v>
      </c>
      <c r="G25" s="36" t="inlineStr">
        <is>
          <t>Universal — requires core + household data (Phase 3)</t>
        </is>
      </c>
    </row>
    <row r="26" ht="18" customHeight="1">
      <c r="A26" s="21" t="inlineStr">
        <is>
          <t>Anomaly Detection</t>
        </is>
      </c>
      <c r="B26" s="35" t="n">
        <v>8000</v>
      </c>
      <c r="C26" s="35" t="n">
        <v>15000</v>
      </c>
      <c r="D26" s="35" t="n">
        <v>25000</v>
      </c>
      <c r="E26" s="35" t="n">
        <v>40000</v>
      </c>
      <c r="G26" s="36" t="inlineStr">
        <is>
          <t>Universal — real-time streaming (Phase 3)</t>
        </is>
      </c>
    </row>
    <row r="28" ht="18" customHeight="1">
      <c r="A28" s="37" t="inlineStr">
        <is>
          <t>SECTION 4 — CU EFFECTIVE PRICING  (Bank rate × (1 − CU Discount))</t>
        </is>
      </c>
      <c r="B28" s="38" t="n"/>
      <c r="C28" s="38" t="n"/>
      <c r="D28" s="38" t="n"/>
      <c r="E28" s="38" t="n"/>
      <c r="F28" s="38" t="n"/>
      <c r="G28" s="38" t="n"/>
    </row>
    <row r="29" ht="18" customHeight="1">
      <c r="A29" s="5" t="inlineStr">
        <is>
          <t>App</t>
        </is>
      </c>
      <c r="B29" s="5" t="inlineStr">
        <is>
          <t>&lt;$250M (CU)</t>
        </is>
      </c>
      <c r="C29" s="5" t="inlineStr">
        <is>
          <t>$250M–$1B (CU)</t>
        </is>
      </c>
      <c r="D29" s="5" t="inlineStr">
        <is>
          <t>$1B–$5B (CU)</t>
        </is>
      </c>
      <c r="E29" s="5" t="inlineStr">
        <is>
          <t>$5B+ (CU)</t>
        </is>
      </c>
      <c r="F29" s="5" t="inlineStr"/>
      <c r="G29" s="5" t="inlineStr"/>
    </row>
    <row r="30" ht="18" customHeight="1">
      <c r="A30" s="39">
        <f>Assumptions!A22</f>
        <v/>
      </c>
      <c r="B30" s="40">
        <f>Assumptions!B22*(1-$B$7)</f>
        <v/>
      </c>
      <c r="C30" s="40">
        <f>Assumptions!C22*(1-$B$7)</f>
        <v/>
      </c>
      <c r="D30" s="40">
        <f>Assumptions!D22*(1-$B$7)</f>
        <v/>
      </c>
      <c r="E30" s="40">
        <f>Assumptions!E22*(1-$B$7)</f>
        <v/>
      </c>
    </row>
    <row r="31" ht="18" customHeight="1">
      <c r="A31" s="41">
        <f>Assumptions!A23</f>
        <v/>
      </c>
      <c r="B31" s="42">
        <f>Assumptions!B23*(1-$B$7)</f>
        <v/>
      </c>
      <c r="C31" s="42">
        <f>Assumptions!C23*(1-$B$7)</f>
        <v/>
      </c>
      <c r="D31" s="42">
        <f>Assumptions!D23*(1-$B$7)</f>
        <v/>
      </c>
      <c r="E31" s="42">
        <f>Assumptions!E23*(1-$B$7)</f>
        <v/>
      </c>
    </row>
    <row r="32" ht="18" customHeight="1">
      <c r="A32" s="39">
        <f>Assumptions!A24</f>
        <v/>
      </c>
      <c r="B32" s="40">
        <f>Assumptions!B24*(1-$B$7)</f>
        <v/>
      </c>
      <c r="C32" s="40">
        <f>Assumptions!C24*(1-$B$7)</f>
        <v/>
      </c>
      <c r="D32" s="40">
        <f>Assumptions!D24*(1-$B$7)</f>
        <v/>
      </c>
      <c r="E32" s="40">
        <f>Assumptions!E24*(1-$B$7)</f>
        <v/>
      </c>
    </row>
    <row r="33" ht="18" customHeight="1">
      <c r="A33" s="41">
        <f>Assumptions!A25</f>
        <v/>
      </c>
      <c r="B33" s="42">
        <f>Assumptions!B25*(1-$B$7)</f>
        <v/>
      </c>
      <c r="C33" s="42">
        <f>Assumptions!C25*(1-$B$7)</f>
        <v/>
      </c>
      <c r="D33" s="42">
        <f>Assumptions!D25*(1-$B$7)</f>
        <v/>
      </c>
      <c r="E33" s="42">
        <f>Assumptions!E25*(1-$B$7)</f>
        <v/>
      </c>
    </row>
    <row r="34" ht="18" customHeight="1">
      <c r="A34" s="39">
        <f>Assumptions!A26</f>
        <v/>
      </c>
      <c r="B34" s="40">
        <f>Assumptions!B26*(1-$B$7)</f>
        <v/>
      </c>
      <c r="C34" s="40">
        <f>Assumptions!C26*(1-$B$7)</f>
        <v/>
      </c>
      <c r="D34" s="40">
        <f>Assumptions!D26*(1-$B$7)</f>
        <v/>
      </c>
      <c r="E34" s="40">
        <f>Assumptions!E26*(1-$B$7)</f>
        <v/>
      </c>
    </row>
    <row r="36" ht="18" customHeight="1">
      <c r="A36" s="3" t="inlineStr">
        <is>
          <t>SECTION 5 — BLENDED AVG SUBSCRIPTION PRICE  (Weighted by adoption tier mix, CU/Bank split)</t>
        </is>
      </c>
      <c r="B36" s="4" t="n"/>
      <c r="C36" s="4" t="n"/>
      <c r="D36" s="4" t="n"/>
      <c r="E36" s="4" t="n"/>
      <c r="F36" s="4" t="n"/>
      <c r="G36" s="4" t="n"/>
    </row>
    <row r="37">
      <c r="A37" s="2" t="inlineStr">
        <is>
          <t xml:space="preserve">   Used in Revenue Model sheet. Weighted average accounts for tier mix of signing FIs and CU discount applied proportionally.</t>
        </is>
      </c>
    </row>
    <row r="38" ht="18" customHeight="1">
      <c r="A38" s="5" t="inlineStr">
        <is>
          <t>App</t>
        </is>
      </c>
      <c r="B38" s="5" t="inlineStr">
        <is>
          <t>Blended Avg Price / FI</t>
        </is>
      </c>
      <c r="C38" s="5" t="inlineStr">
        <is>
          <t>Annual FI Target</t>
        </is>
      </c>
      <c r="D38" s="5" t="inlineStr">
        <is>
          <t>Year 1 ARR Potential</t>
        </is>
      </c>
      <c r="E38" s="5" t="inlineStr"/>
      <c r="F38" s="5" t="inlineStr"/>
      <c r="G38" s="5" t="inlineStr">
        <is>
          <t>Source / Notes</t>
        </is>
      </c>
    </row>
    <row r="39" ht="18" customHeight="1">
      <c r="A39" s="21" t="inlineStr">
        <is>
          <t>Zelle Memo Intelligence</t>
        </is>
      </c>
      <c r="B39" s="35" t="n">
        <v>9700</v>
      </c>
      <c r="C39" s="28" t="n">
        <v>40</v>
      </c>
      <c r="D39" s="43">
        <f>B39*C39</f>
        <v/>
      </c>
      <c r="G39" s="29" t="inlineStr">
        <is>
          <t>Tier mix: 20%/&lt;$250M, 50%/$250M-1B, 22.5%/$1B-5B, 7.5%/$5B+; CU share blended</t>
        </is>
      </c>
    </row>
    <row r="40" ht="18" customHeight="1">
      <c r="A40" s="24" t="inlineStr">
        <is>
          <t>Churn Sentinel</t>
        </is>
      </c>
      <c r="B40" s="35" t="n">
        <v>13700</v>
      </c>
      <c r="C40" s="28" t="n">
        <v>50</v>
      </c>
      <c r="D40" s="43">
        <f>B40*C40</f>
        <v/>
      </c>
      <c r="G40" s="29" t="inlineStr">
        <is>
          <t>Broader tier reach; higher avg due to $1B+ FI interest</t>
        </is>
      </c>
    </row>
    <row r="41" ht="18" customHeight="1">
      <c r="A41" s="21" t="inlineStr">
        <is>
          <t>CommercialSignal</t>
        </is>
      </c>
      <c r="B41" s="35" t="n">
        <v>11100</v>
      </c>
      <c r="C41" s="28" t="n">
        <v>35</v>
      </c>
      <c r="D41" s="43">
        <f>B41*C41</f>
        <v/>
      </c>
      <c r="G41" s="29" t="inlineStr">
        <is>
          <t>Payments data only; moderate tier skew</t>
        </is>
      </c>
    </row>
    <row r="42" ht="18" customHeight="1">
      <c r="A42" s="24" t="inlineStr">
        <is>
          <t>Gen. Wealth Deflection</t>
        </is>
      </c>
      <c r="B42" s="35" t="n">
        <v>13600</v>
      </c>
      <c r="C42" s="28" t="n">
        <v>24</v>
      </c>
      <c r="D42" s="43">
        <f>B42*C42</f>
        <v/>
      </c>
      <c r="G42" s="29" t="inlineStr">
        <is>
          <t>Core data dependency limits early adoption to mid/large tiers</t>
        </is>
      </c>
    </row>
    <row r="43" ht="18" customHeight="1">
      <c r="A43" s="21" t="inlineStr">
        <is>
          <t>Anomaly Detection</t>
        </is>
      </c>
      <c r="B43" s="35" t="n">
        <v>16800</v>
      </c>
      <c r="C43" s="28" t="n">
        <v>24</v>
      </c>
      <c r="D43" s="43">
        <f>B43*C43</f>
        <v/>
      </c>
      <c r="G43" s="29" t="inlineStr">
        <is>
          <t>Highest price; complex streaming model; targets Tier 3-4</t>
        </is>
      </c>
    </row>
    <row r="44" ht="18" customHeight="1">
      <c r="A44" s="18" t="inlineStr">
        <is>
          <t>TOTAL — Year 1 ARR Potential (all apps launched)</t>
        </is>
      </c>
      <c r="B44" s="44" t="inlineStr"/>
      <c r="C44" s="34">
        <f>SUM(C39:C43)</f>
        <v/>
      </c>
      <c r="D44" s="45">
        <f>SUM(D39:D43)</f>
        <v/>
      </c>
      <c r="E44" s="44" t="n"/>
      <c r="F44" s="44" t="n"/>
      <c r="G44" s="44" t="n"/>
    </row>
    <row r="46" ht="18" customHeight="1">
      <c r="A46" s="3" t="inlineStr">
        <is>
          <t>SECTION 6 — JHBI PLATFORM MIGRATION UPLIFT  (JHAKnow + ARCU → JHBI)</t>
        </is>
      </c>
      <c r="B46" s="4" t="n"/>
      <c r="C46" s="4" t="n"/>
      <c r="D46" s="4" t="n"/>
      <c r="E46" s="4" t="n"/>
      <c r="F46" s="4" t="n"/>
      <c r="G46" s="4" t="n"/>
    </row>
    <row r="47" ht="18" customHeight="1">
      <c r="A47" s="5" t="inlineStr">
        <is>
          <t>Parameter</t>
        </is>
      </c>
      <c r="B47" s="5" t="inlineStr">
        <is>
          <t>Value</t>
        </is>
      </c>
      <c r="C47" s="5" t="inlineStr"/>
      <c r="D47" s="5" t="inlineStr"/>
      <c r="E47" s="5" t="inlineStr"/>
      <c r="F47" s="5" t="inlineStr"/>
      <c r="G47" s="5" t="inlineStr">
        <is>
          <t>Notes</t>
        </is>
      </c>
    </row>
    <row r="48" ht="18" customHeight="1">
      <c r="A48" s="21" t="inlineStr">
        <is>
          <t>JHAKnow Active FIs (Banks)</t>
        </is>
      </c>
      <c r="B48" s="28" t="n">
        <v>150</v>
      </c>
      <c r="G48" s="29" t="inlineStr">
        <is>
          <t>Current contracted bank FIs on JHAKnow platform</t>
        </is>
      </c>
    </row>
    <row r="49" ht="18" customHeight="1">
      <c r="A49" s="24" t="inlineStr">
        <is>
          <t>ARCU Active FIs (CUs)</t>
        </is>
      </c>
      <c r="B49" s="28" t="n">
        <v>150</v>
      </c>
      <c r="G49" s="29" t="inlineStr">
        <is>
          <t>Current contracted CU FIs on ARCU platform</t>
        </is>
      </c>
    </row>
    <row r="50" ht="18" customHeight="1">
      <c r="A50" s="21" t="inlineStr">
        <is>
          <t>Base Platform Price Assumption ($/FI/yr)</t>
        </is>
      </c>
      <c r="B50" s="35" t="n">
        <v>10000</v>
      </c>
      <c r="G50" s="29" t="inlineStr">
        <is>
          <t>Assumed annual platform price for JHAKnow/ARCU — adjust as needed</t>
        </is>
      </c>
    </row>
    <row r="51" ht="18" customHeight="1">
      <c r="A51" s="24" t="inlineStr">
        <is>
          <t>JHBI Platform Uplift %</t>
        </is>
      </c>
      <c r="B51" s="30" t="n">
        <v>0.1</v>
      </c>
      <c r="G51" s="29" t="inlineStr">
        <is>
          <t>Nominal upcharge for migrating to JHBI; placeholder — not yet finalized</t>
        </is>
      </c>
    </row>
    <row r="52" ht="18" customHeight="1">
      <c r="A52" s="21" t="inlineStr">
        <is>
          <t>Bank Upcharge ($/FI/yr)</t>
        </is>
      </c>
      <c r="B52" s="40">
        <f>B50*B51</f>
        <v/>
      </c>
      <c r="G52" s="29">
        <f> Base Price × Uplift % — formula-driven</f>
        <v/>
      </c>
    </row>
    <row r="53" ht="18" customHeight="1">
      <c r="A53" s="24" t="inlineStr">
        <is>
          <t>CU Upcharge ($/FI/yr)</t>
        </is>
      </c>
      <c r="B53" s="42">
        <f>B52*(1-$B$8)</f>
        <v/>
      </c>
      <c r="G53" s="29">
        <f> Bank Upcharge × (1 − CU Discount) — formula-driven</f>
        <v/>
      </c>
    </row>
  </sheetData>
  <mergeCells count="3">
    <mergeCell ref="A2:G2"/>
    <mergeCell ref="A1:G1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A1" s="1" t="inlineStr">
        <is>
          <t>JHBI DS Apps — Quarterly ARR Build  |  Path to $1M</t>
        </is>
      </c>
    </row>
    <row r="2" ht="16" customHeight="1">
      <c r="A2" s="2" t="inlineStr">
        <is>
          <t xml:space="preserve">   ARR = Cumulative Active FIs × Annual Subscription Price.  Churn applied quarterly (Annual Rate ÷ 4).  All inputs in blue; formulas in black.</t>
        </is>
      </c>
    </row>
    <row r="3" ht="20" customHeight="1">
      <c r="A3" s="18" t="inlineStr">
        <is>
          <t>Metric</t>
        </is>
      </c>
      <c r="B3" s="46" t="inlineStr">
        <is>
          <t>App</t>
        </is>
      </c>
      <c r="C3" s="46" t="inlineStr">
        <is>
          <t>Q3 FY26</t>
        </is>
      </c>
      <c r="D3" s="46" t="inlineStr">
        <is>
          <t>Q4 FY26</t>
        </is>
      </c>
      <c r="E3" s="46" t="inlineStr">
        <is>
          <t>Q1 FY27</t>
        </is>
      </c>
      <c r="F3" s="46" t="inlineStr">
        <is>
          <t>Q2 FY27</t>
        </is>
      </c>
      <c r="G3" s="46" t="inlineStr">
        <is>
          <t>Q3 FY27</t>
        </is>
      </c>
      <c r="H3" s="46" t="inlineStr">
        <is>
          <t>Q4 FY27</t>
        </is>
      </c>
      <c r="I3" s="46" t="inlineStr">
        <is>
          <t>Q1 FY28</t>
        </is>
      </c>
      <c r="J3" s="46" t="inlineStr">
        <is>
          <t>Q2 FY28</t>
        </is>
      </c>
    </row>
    <row r="4" ht="16" customHeight="1">
      <c r="A4" s="47" t="inlineStr"/>
      <c r="B4" s="47" t="inlineStr"/>
      <c r="C4" s="48" t="inlineStr">
        <is>
          <t>Jan–Mar 2026</t>
        </is>
      </c>
      <c r="D4" s="48" t="inlineStr">
        <is>
          <t>Apr–Jun 2026</t>
        </is>
      </c>
      <c r="E4" s="48" t="inlineStr">
        <is>
          <t>Jul–Sep 2026</t>
        </is>
      </c>
      <c r="F4" s="48" t="inlineStr">
        <is>
          <t>Oct–Dec 2026</t>
        </is>
      </c>
      <c r="G4" s="48" t="inlineStr">
        <is>
          <t>Jan–Mar 2027</t>
        </is>
      </c>
      <c r="H4" s="48" t="inlineStr">
        <is>
          <t>Apr–Jun 2027</t>
        </is>
      </c>
      <c r="I4" s="48" t="inlineStr">
        <is>
          <t>Jul–Sep 2027</t>
        </is>
      </c>
      <c r="J4" s="48" t="inlineStr">
        <is>
          <t>Oct–Dec 2027</t>
        </is>
      </c>
    </row>
    <row r="5" ht="20" customHeight="1">
      <c r="A5" s="3" t="inlineStr">
        <is>
          <t xml:space="preserve">  Zelle Memo Intelligence</t>
        </is>
      </c>
    </row>
    <row r="6" ht="18" customHeight="1">
      <c r="A6" s="21" t="inlineStr">
        <is>
          <t>New FIs Signed</t>
        </is>
      </c>
      <c r="B6" s="6" t="inlineStr">
        <is>
          <t>#</t>
        </is>
      </c>
      <c r="C6" s="49" t="n">
        <v>0</v>
      </c>
      <c r="D6" s="49" t="n">
        <v>0</v>
      </c>
      <c r="E6" s="28" t="n">
        <v>5</v>
      </c>
      <c r="F6" s="28" t="n">
        <v>4</v>
      </c>
      <c r="G6" s="28" t="n">
        <v>4</v>
      </c>
      <c r="H6" s="28" t="n">
        <v>4</v>
      </c>
      <c r="I6" s="28" t="n">
        <v>3</v>
      </c>
      <c r="J6" s="28" t="n">
        <v>3</v>
      </c>
    </row>
    <row r="7" ht="18" customHeight="1">
      <c r="A7" s="24" t="inlineStr">
        <is>
          <t>Active FIs (Cumul., net churn)</t>
        </is>
      </c>
      <c r="B7" s="10" t="inlineStr">
        <is>
          <t>#</t>
        </is>
      </c>
      <c r="C7" s="33">
        <f>ROUND(C6,0)</f>
        <v/>
      </c>
      <c r="D7" s="33">
        <f>ROUND(C7*(1-Assumptions!$B$10/4)+D6,0)</f>
        <v/>
      </c>
      <c r="E7" s="33">
        <f>ROUND(D7*(1-Assumptions!$B$10/4)+E6,0)</f>
        <v/>
      </c>
      <c r="F7" s="33">
        <f>ROUND(E7*(1-Assumptions!$B$10/4)+F6,0)</f>
        <v/>
      </c>
      <c r="G7" s="33">
        <f>ROUND(F7*(1-Assumptions!$B$10/4)+G6,0)</f>
        <v/>
      </c>
      <c r="H7" s="33">
        <f>ROUND(G7*(1-Assumptions!$B$10/4)+H6,0)</f>
        <v/>
      </c>
      <c r="I7" s="33">
        <f>ROUND(H7*(1-Assumptions!$B$10/4)+I6,0)</f>
        <v/>
      </c>
      <c r="J7" s="33">
        <f>ROUND(I7*(1-Assumptions!$B$10/4)+J6,0)</f>
        <v/>
      </c>
    </row>
    <row r="8" ht="18" customHeight="1">
      <c r="A8" s="50" t="inlineStr">
        <is>
          <t>Ending ARR</t>
        </is>
      </c>
      <c r="B8" s="22" t="inlineStr">
        <is>
          <t>$</t>
        </is>
      </c>
      <c r="C8" s="43">
        <f>ROUND(C7*Assumptions!$B$39,0)</f>
        <v/>
      </c>
      <c r="D8" s="43">
        <f>ROUND(D7*Assumptions!$B$39,0)</f>
        <v/>
      </c>
      <c r="E8" s="43">
        <f>ROUND(E7*Assumptions!$B$39,0)</f>
        <v/>
      </c>
      <c r="F8" s="43">
        <f>ROUND(F7*Assumptions!$B$39,0)</f>
        <v/>
      </c>
      <c r="G8" s="43">
        <f>ROUND(G7*Assumptions!$B$39,0)</f>
        <v/>
      </c>
      <c r="H8" s="43">
        <f>ROUND(H7*Assumptions!$B$39,0)</f>
        <v/>
      </c>
      <c r="I8" s="43">
        <f>ROUND(I7*Assumptions!$B$39,0)</f>
        <v/>
      </c>
      <c r="J8" s="43">
        <f>ROUND(J7*Assumptions!$B$39,0)</f>
        <v/>
      </c>
    </row>
    <row r="10" ht="20" customHeight="1">
      <c r="A10" s="18" t="inlineStr">
        <is>
          <t xml:space="preserve">  Churn Sentinel</t>
        </is>
      </c>
    </row>
    <row r="11" ht="18" customHeight="1">
      <c r="A11" s="21" t="inlineStr">
        <is>
          <t>New FIs Signed</t>
        </is>
      </c>
      <c r="B11" s="6" t="inlineStr">
        <is>
          <t>#</t>
        </is>
      </c>
      <c r="C11" s="49" t="n">
        <v>0</v>
      </c>
      <c r="D11" s="49" t="n">
        <v>0</v>
      </c>
      <c r="E11" s="49" t="n">
        <v>0</v>
      </c>
      <c r="F11" s="28" t="n">
        <v>15</v>
      </c>
      <c r="G11" s="28" t="n">
        <v>13</v>
      </c>
      <c r="H11" s="28" t="n">
        <v>12</v>
      </c>
      <c r="I11" s="28" t="n">
        <v>10</v>
      </c>
      <c r="J11" s="28" t="n">
        <v>8</v>
      </c>
    </row>
    <row r="12" ht="18" customHeight="1">
      <c r="A12" s="24" t="inlineStr">
        <is>
          <t>Active FIs (Cumul., net churn)</t>
        </is>
      </c>
      <c r="B12" s="10" t="inlineStr">
        <is>
          <t>#</t>
        </is>
      </c>
      <c r="C12" s="33">
        <f>ROUND(C11,0)</f>
        <v/>
      </c>
      <c r="D12" s="33">
        <f>ROUND(C12*(1-Assumptions!$B$10/4)+D11,0)</f>
        <v/>
      </c>
      <c r="E12" s="33">
        <f>ROUND(D12*(1-Assumptions!$B$10/4)+E11,0)</f>
        <v/>
      </c>
      <c r="F12" s="33">
        <f>ROUND(E12*(1-Assumptions!$B$10/4)+F11,0)</f>
        <v/>
      </c>
      <c r="G12" s="33">
        <f>ROUND(F12*(1-Assumptions!$B$10/4)+G11,0)</f>
        <v/>
      </c>
      <c r="H12" s="33">
        <f>ROUND(G12*(1-Assumptions!$B$10/4)+H11,0)</f>
        <v/>
      </c>
      <c r="I12" s="33">
        <f>ROUND(H12*(1-Assumptions!$B$10/4)+I11,0)</f>
        <v/>
      </c>
      <c r="J12" s="33">
        <f>ROUND(I12*(1-Assumptions!$B$10/4)+J11,0)</f>
        <v/>
      </c>
    </row>
    <row r="13" ht="18" customHeight="1">
      <c r="A13" s="50" t="inlineStr">
        <is>
          <t>Ending ARR</t>
        </is>
      </c>
      <c r="B13" s="22" t="inlineStr">
        <is>
          <t>$</t>
        </is>
      </c>
      <c r="C13" s="43">
        <f>ROUND(C12*Assumptions!$B$40,0)</f>
        <v/>
      </c>
      <c r="D13" s="43">
        <f>ROUND(D12*Assumptions!$B$40,0)</f>
        <v/>
      </c>
      <c r="E13" s="43">
        <f>ROUND(E12*Assumptions!$B$40,0)</f>
        <v/>
      </c>
      <c r="F13" s="43">
        <f>ROUND(F12*Assumptions!$B$40,0)</f>
        <v/>
      </c>
      <c r="G13" s="43">
        <f>ROUND(G12*Assumptions!$B$40,0)</f>
        <v/>
      </c>
      <c r="H13" s="43">
        <f>ROUND(H12*Assumptions!$B$40,0)</f>
        <v/>
      </c>
      <c r="I13" s="43">
        <f>ROUND(I12*Assumptions!$B$40,0)</f>
        <v/>
      </c>
      <c r="J13" s="43">
        <f>ROUND(J12*Assumptions!$B$40,0)</f>
        <v/>
      </c>
    </row>
    <row r="15" ht="20" customHeight="1">
      <c r="A15" s="37" t="inlineStr">
        <is>
          <t xml:space="preserve">  CommercialSignal</t>
        </is>
      </c>
    </row>
    <row r="16" ht="18" customHeight="1">
      <c r="A16" s="21" t="inlineStr">
        <is>
          <t>New FIs Signed</t>
        </is>
      </c>
      <c r="B16" s="6" t="inlineStr">
        <is>
          <t>#</t>
        </is>
      </c>
      <c r="C16" s="49" t="n">
        <v>0</v>
      </c>
      <c r="D16" s="49" t="n">
        <v>0</v>
      </c>
      <c r="E16" s="49" t="n">
        <v>0</v>
      </c>
      <c r="F16" s="49" t="n">
        <v>0</v>
      </c>
      <c r="G16" s="28" t="n">
        <v>10</v>
      </c>
      <c r="H16" s="28" t="n">
        <v>9</v>
      </c>
      <c r="I16" s="28" t="n">
        <v>8</v>
      </c>
      <c r="J16" s="28" t="n">
        <v>7</v>
      </c>
    </row>
    <row r="17" ht="18" customHeight="1">
      <c r="A17" s="24" t="inlineStr">
        <is>
          <t>Active FIs (Cumul., net churn)</t>
        </is>
      </c>
      <c r="B17" s="10" t="inlineStr">
        <is>
          <t>#</t>
        </is>
      </c>
      <c r="C17" s="33">
        <f>ROUND(C16,0)</f>
        <v/>
      </c>
      <c r="D17" s="33">
        <f>ROUND(C17*(1-Assumptions!$B$10/4)+D16,0)</f>
        <v/>
      </c>
      <c r="E17" s="33">
        <f>ROUND(D17*(1-Assumptions!$B$10/4)+E16,0)</f>
        <v/>
      </c>
      <c r="F17" s="33">
        <f>ROUND(E17*(1-Assumptions!$B$10/4)+F16,0)</f>
        <v/>
      </c>
      <c r="G17" s="33">
        <f>ROUND(F17*(1-Assumptions!$B$10/4)+G16,0)</f>
        <v/>
      </c>
      <c r="H17" s="33">
        <f>ROUND(G17*(1-Assumptions!$B$10/4)+H16,0)</f>
        <v/>
      </c>
      <c r="I17" s="33">
        <f>ROUND(H17*(1-Assumptions!$B$10/4)+I16,0)</f>
        <v/>
      </c>
      <c r="J17" s="33">
        <f>ROUND(I17*(1-Assumptions!$B$10/4)+J16,0)</f>
        <v/>
      </c>
    </row>
    <row r="18" ht="18" customHeight="1">
      <c r="A18" s="50" t="inlineStr">
        <is>
          <t>Ending ARR</t>
        </is>
      </c>
      <c r="B18" s="22" t="inlineStr">
        <is>
          <t>$</t>
        </is>
      </c>
      <c r="C18" s="43">
        <f>ROUND(C17*Assumptions!$B$41,0)</f>
        <v/>
      </c>
      <c r="D18" s="43">
        <f>ROUND(D17*Assumptions!$B$41,0)</f>
        <v/>
      </c>
      <c r="E18" s="43">
        <f>ROUND(E17*Assumptions!$B$41,0)</f>
        <v/>
      </c>
      <c r="F18" s="43">
        <f>ROUND(F17*Assumptions!$B$41,0)</f>
        <v/>
      </c>
      <c r="G18" s="43">
        <f>ROUND(G17*Assumptions!$B$41,0)</f>
        <v/>
      </c>
      <c r="H18" s="43">
        <f>ROUND(H17*Assumptions!$B$41,0)</f>
        <v/>
      </c>
      <c r="I18" s="43">
        <f>ROUND(I17*Assumptions!$B$41,0)</f>
        <v/>
      </c>
      <c r="J18" s="43">
        <f>ROUND(J17*Assumptions!$B$41,0)</f>
        <v/>
      </c>
    </row>
    <row r="20" ht="20" customHeight="1">
      <c r="A20" s="51" t="inlineStr">
        <is>
          <t xml:space="preserve">  Gen. Wealth Deflection</t>
        </is>
      </c>
    </row>
    <row r="21" ht="18" customHeight="1">
      <c r="A21" s="21" t="inlineStr">
        <is>
          <t>New FIs Signed</t>
        </is>
      </c>
      <c r="B21" s="6" t="inlineStr">
        <is>
          <t>#</t>
        </is>
      </c>
      <c r="C21" s="49" t="n">
        <v>0</v>
      </c>
      <c r="D21" s="49" t="n">
        <v>0</v>
      </c>
      <c r="E21" s="49" t="n">
        <v>0</v>
      </c>
      <c r="F21" s="49" t="n">
        <v>0</v>
      </c>
      <c r="G21" s="49" t="n">
        <v>0</v>
      </c>
      <c r="H21" s="49" t="n">
        <v>0</v>
      </c>
      <c r="I21" s="28" t="n">
        <v>7</v>
      </c>
      <c r="J21" s="28" t="n">
        <v>6</v>
      </c>
    </row>
    <row r="22" ht="18" customHeight="1">
      <c r="A22" s="24" t="inlineStr">
        <is>
          <t>Active FIs (Cumul., net churn)</t>
        </is>
      </c>
      <c r="B22" s="10" t="inlineStr">
        <is>
          <t>#</t>
        </is>
      </c>
      <c r="C22" s="33">
        <f>ROUND(C21,0)</f>
        <v/>
      </c>
      <c r="D22" s="33">
        <f>ROUND(C22*(1-Assumptions!$B$10/4)+D21,0)</f>
        <v/>
      </c>
      <c r="E22" s="33">
        <f>ROUND(D22*(1-Assumptions!$B$10/4)+E21,0)</f>
        <v/>
      </c>
      <c r="F22" s="33">
        <f>ROUND(E22*(1-Assumptions!$B$10/4)+F21,0)</f>
        <v/>
      </c>
      <c r="G22" s="33">
        <f>ROUND(F22*(1-Assumptions!$B$10/4)+G21,0)</f>
        <v/>
      </c>
      <c r="H22" s="33">
        <f>ROUND(G22*(1-Assumptions!$B$10/4)+H21,0)</f>
        <v/>
      </c>
      <c r="I22" s="33">
        <f>ROUND(H22*(1-Assumptions!$B$10/4)+I21,0)</f>
        <v/>
      </c>
      <c r="J22" s="33">
        <f>ROUND(I22*(1-Assumptions!$B$10/4)+J21,0)</f>
        <v/>
      </c>
    </row>
    <row r="23" ht="18" customHeight="1">
      <c r="A23" s="50" t="inlineStr">
        <is>
          <t>Ending ARR</t>
        </is>
      </c>
      <c r="B23" s="22" t="inlineStr">
        <is>
          <t>$</t>
        </is>
      </c>
      <c r="C23" s="43">
        <f>ROUND(C22*Assumptions!$B$42,0)</f>
        <v/>
      </c>
      <c r="D23" s="43">
        <f>ROUND(D22*Assumptions!$B$42,0)</f>
        <v/>
      </c>
      <c r="E23" s="43">
        <f>ROUND(E22*Assumptions!$B$42,0)</f>
        <v/>
      </c>
      <c r="F23" s="43">
        <f>ROUND(F22*Assumptions!$B$42,0)</f>
        <v/>
      </c>
      <c r="G23" s="43">
        <f>ROUND(G22*Assumptions!$B$42,0)</f>
        <v/>
      </c>
      <c r="H23" s="43">
        <f>ROUND(H22*Assumptions!$B$42,0)</f>
        <v/>
      </c>
      <c r="I23" s="43">
        <f>ROUND(I22*Assumptions!$B$42,0)</f>
        <v/>
      </c>
      <c r="J23" s="43">
        <f>ROUND(J22*Assumptions!$B$42,0)</f>
        <v/>
      </c>
    </row>
    <row r="25" ht="20" customHeight="1">
      <c r="A25" s="52" t="inlineStr">
        <is>
          <t xml:space="preserve">  Anomaly Detection</t>
        </is>
      </c>
    </row>
    <row r="26" ht="18" customHeight="1">
      <c r="A26" s="21" t="inlineStr">
        <is>
          <t>New FIs Signed</t>
        </is>
      </c>
      <c r="B26" s="6" t="inlineStr">
        <is>
          <t>#</t>
        </is>
      </c>
      <c r="C26" s="49" t="n">
        <v>0</v>
      </c>
      <c r="D26" s="49" t="n">
        <v>0</v>
      </c>
      <c r="E26" s="49" t="n">
        <v>0</v>
      </c>
      <c r="F26" s="49" t="n">
        <v>0</v>
      </c>
      <c r="G26" s="49" t="n">
        <v>0</v>
      </c>
      <c r="H26" s="49" t="n">
        <v>0</v>
      </c>
      <c r="I26" s="49" t="n">
        <v>0</v>
      </c>
      <c r="J26" s="28" t="n">
        <v>7</v>
      </c>
    </row>
    <row r="27" ht="18" customHeight="1">
      <c r="A27" s="24" t="inlineStr">
        <is>
          <t>Active FIs (Cumul., net churn)</t>
        </is>
      </c>
      <c r="B27" s="10" t="inlineStr">
        <is>
          <t>#</t>
        </is>
      </c>
      <c r="C27" s="33">
        <f>ROUND(C26,0)</f>
        <v/>
      </c>
      <c r="D27" s="33">
        <f>ROUND(C27*(1-Assumptions!$B$10/4)+D26,0)</f>
        <v/>
      </c>
      <c r="E27" s="33">
        <f>ROUND(D27*(1-Assumptions!$B$10/4)+E26,0)</f>
        <v/>
      </c>
      <c r="F27" s="33">
        <f>ROUND(E27*(1-Assumptions!$B$10/4)+F26,0)</f>
        <v/>
      </c>
      <c r="G27" s="33">
        <f>ROUND(F27*(1-Assumptions!$B$10/4)+G26,0)</f>
        <v/>
      </c>
      <c r="H27" s="33">
        <f>ROUND(G27*(1-Assumptions!$B$10/4)+H26,0)</f>
        <v/>
      </c>
      <c r="I27" s="33">
        <f>ROUND(H27*(1-Assumptions!$B$10/4)+I26,0)</f>
        <v/>
      </c>
      <c r="J27" s="33">
        <f>ROUND(I27*(1-Assumptions!$B$10/4)+J26,0)</f>
        <v/>
      </c>
    </row>
    <row r="28" ht="18" customHeight="1">
      <c r="A28" s="50" t="inlineStr">
        <is>
          <t>Ending ARR</t>
        </is>
      </c>
      <c r="B28" s="22" t="inlineStr">
        <is>
          <t>$</t>
        </is>
      </c>
      <c r="C28" s="43">
        <f>ROUND(C27*Assumptions!$B$43,0)</f>
        <v/>
      </c>
      <c r="D28" s="43">
        <f>ROUND(D27*Assumptions!$B$43,0)</f>
        <v/>
      </c>
      <c r="E28" s="43">
        <f>ROUND(E27*Assumptions!$B$43,0)</f>
        <v/>
      </c>
      <c r="F28" s="43">
        <f>ROUND(F27*Assumptions!$B$43,0)</f>
        <v/>
      </c>
      <c r="G28" s="43">
        <f>ROUND(G27*Assumptions!$B$43,0)</f>
        <v/>
      </c>
      <c r="H28" s="43">
        <f>ROUND(H27*Assumptions!$B$43,0)</f>
        <v/>
      </c>
      <c r="I28" s="43">
        <f>ROUND(I27*Assumptions!$B$43,0)</f>
        <v/>
      </c>
      <c r="J28" s="43">
        <f>ROUND(J27*Assumptions!$B$43,0)</f>
        <v/>
      </c>
    </row>
    <row r="30" ht="20" customHeight="1">
      <c r="A30" s="53" t="inlineStr">
        <is>
          <t xml:space="preserve">  JHBI PLATFORM MIGRATION UPLIFT — JHAKnow + ARCU → JHBI  (Nominal Upcharge)</t>
        </is>
      </c>
    </row>
    <row r="31" ht="18" customHeight="1">
      <c r="A31" s="21" t="inlineStr">
        <is>
          <t>Cumul. Bank FIs Migrated (JHAKnow → JHBI)</t>
        </is>
      </c>
      <c r="B31" s="6" t="inlineStr">
        <is>
          <t>#</t>
        </is>
      </c>
      <c r="C31" s="49" t="n">
        <v>0</v>
      </c>
      <c r="D31" s="49" t="n">
        <v>0</v>
      </c>
      <c r="E31" s="28" t="n">
        <v>20</v>
      </c>
      <c r="F31" s="28" t="n">
        <v>75</v>
      </c>
      <c r="G31" s="28" t="n">
        <v>120</v>
      </c>
      <c r="H31" s="28" t="n">
        <v>150</v>
      </c>
      <c r="I31" s="28" t="n">
        <v>150</v>
      </c>
      <c r="J31" s="28" t="n">
        <v>150</v>
      </c>
    </row>
    <row r="32" ht="18" customHeight="1">
      <c r="A32" s="24" t="inlineStr">
        <is>
          <t>Cumul. CU FIs Migrated (ARCU → JHBI)</t>
        </is>
      </c>
      <c r="B32" s="10" t="inlineStr">
        <is>
          <t>#</t>
        </is>
      </c>
      <c r="C32" s="54" t="n">
        <v>0</v>
      </c>
      <c r="D32" s="54" t="n">
        <v>0</v>
      </c>
      <c r="E32" s="28" t="n">
        <v>20</v>
      </c>
      <c r="F32" s="28" t="n">
        <v>75</v>
      </c>
      <c r="G32" s="28" t="n">
        <v>120</v>
      </c>
      <c r="H32" s="28" t="n">
        <v>150</v>
      </c>
      <c r="I32" s="28" t="n">
        <v>150</v>
      </c>
      <c r="J32" s="28" t="n">
        <v>150</v>
      </c>
    </row>
    <row r="33" ht="18" customHeight="1">
      <c r="A33" s="50" t="inlineStr">
        <is>
          <t>Platform Migration Upcharge ARR</t>
        </is>
      </c>
      <c r="B33" s="22" t="inlineStr">
        <is>
          <t>$</t>
        </is>
      </c>
      <c r="C33" s="43">
        <f>ROUND(C31*Assumptions!$B$52+C32*Assumptions!$B$53,0)</f>
        <v/>
      </c>
      <c r="D33" s="43">
        <f>ROUND(D31*Assumptions!$B$52+D32*Assumptions!$B$53,0)</f>
        <v/>
      </c>
      <c r="E33" s="43">
        <f>ROUND(E31*Assumptions!$B$52+E32*Assumptions!$B$53,0)</f>
        <v/>
      </c>
      <c r="F33" s="43">
        <f>ROUND(F31*Assumptions!$B$52+F32*Assumptions!$B$53,0)</f>
        <v/>
      </c>
      <c r="G33" s="43">
        <f>ROUND(G31*Assumptions!$B$52+G32*Assumptions!$B$53,0)</f>
        <v/>
      </c>
      <c r="H33" s="43">
        <f>ROUND(H31*Assumptions!$B$52+H32*Assumptions!$B$53,0)</f>
        <v/>
      </c>
      <c r="I33" s="43">
        <f>ROUND(I31*Assumptions!$B$52+I32*Assumptions!$B$53,0)</f>
        <v/>
      </c>
      <c r="J33" s="43">
        <f>ROUND(J31*Assumptions!$B$52+J32*Assumptions!$B$53,0)</f>
        <v/>
      </c>
    </row>
    <row r="35" ht="22" customHeight="1">
      <c r="A35" s="55" t="inlineStr">
        <is>
          <t xml:space="preserve">  TOTAL — COMBINED JHBI ARR  (DS Apps + Platform Migration Uplift)</t>
        </is>
      </c>
    </row>
    <row r="36" ht="18" customHeight="1">
      <c r="A36" s="56" t="inlineStr">
        <is>
          <t>Total Active FI App Subscriptions</t>
        </is>
      </c>
      <c r="B36" s="57" t="inlineStr">
        <is>
          <t>#</t>
        </is>
      </c>
      <c r="C36" s="58">
        <f>C7+C12+C17+C22+C27</f>
        <v/>
      </c>
      <c r="D36" s="58">
        <f>D7+D12+D17+D22+D27</f>
        <v/>
      </c>
      <c r="E36" s="58">
        <f>E7+E12+E17+E22+E27</f>
        <v/>
      </c>
      <c r="F36" s="58">
        <f>F7+F12+F17+F22+F27</f>
        <v/>
      </c>
      <c r="G36" s="58">
        <f>G7+G12+G17+G22+G27</f>
        <v/>
      </c>
      <c r="H36" s="58">
        <f>H7+H12+H17+H22+H27</f>
        <v/>
      </c>
      <c r="I36" s="58">
        <f>I7+I12+I17+I22+I27</f>
        <v/>
      </c>
      <c r="J36" s="58">
        <f>J7+J12+J17+J22+J27</f>
        <v/>
      </c>
    </row>
    <row r="37" ht="22" customHeight="1">
      <c r="A37" s="59" t="inlineStr">
        <is>
          <t>TOTAL ARR</t>
        </is>
      </c>
      <c r="B37" s="4" t="inlineStr">
        <is>
          <t>$</t>
        </is>
      </c>
      <c r="C37" s="60">
        <f>C8+C13+C18+C23+C28+C33</f>
        <v/>
      </c>
      <c r="D37" s="60">
        <f>D8+D13+D18+D23+D28+D33</f>
        <v/>
      </c>
      <c r="E37" s="60">
        <f>E8+E13+E18+E23+E28+E33</f>
        <v/>
      </c>
      <c r="F37" s="60">
        <f>F8+F13+F18+F23+F28+F33</f>
        <v/>
      </c>
      <c r="G37" s="60">
        <f>G8+G13+G18+G23+G28+G33</f>
        <v/>
      </c>
      <c r="H37" s="60">
        <f>H8+H13+H18+H23+H28+H33</f>
        <v/>
      </c>
      <c r="I37" s="60">
        <f>I8+I13+I18+I23+I28+I33</f>
        <v/>
      </c>
      <c r="J37" s="60">
        <f>J8+J13+J18+J23+J28+J33</f>
        <v/>
      </c>
    </row>
    <row r="38" ht="18" customHeight="1">
      <c r="A38" s="61" t="inlineStr">
        <is>
          <t>QoQ ARR Growth</t>
        </is>
      </c>
      <c r="B38" s="62" t="inlineStr">
        <is>
          <t>%</t>
        </is>
      </c>
      <c r="C38" s="63" t="inlineStr">
        <is>
          <t>"-"</t>
        </is>
      </c>
      <c r="D38" s="63">
        <f>IF(C37=0,"-",(D37-C37)/C37)</f>
        <v/>
      </c>
      <c r="E38" s="63">
        <f>IF(D37=0,"-",(E37-D37)/D37)</f>
        <v/>
      </c>
      <c r="F38" s="63">
        <f>IF(E37=0,"-",(F37-E37)/E37)</f>
        <v/>
      </c>
      <c r="G38" s="63">
        <f>IF(F37=0,"-",(G37-F37)/F37)</f>
        <v/>
      </c>
      <c r="H38" s="63">
        <f>IF(G37=0,"-",(H37-G37)/G37)</f>
        <v/>
      </c>
      <c r="I38" s="63">
        <f>IF(H37=0,"-",(I37-H37)/H37)</f>
        <v/>
      </c>
      <c r="J38" s="63">
        <f>IF(I37=0,"-",(J37-I37)/I37)</f>
        <v/>
      </c>
    </row>
    <row r="39" ht="18" customHeight="1">
      <c r="A39" s="64" t="inlineStr">
        <is>
          <t>$1M ARR Milestone</t>
        </is>
      </c>
      <c r="B39" s="14" t="inlineStr">
        <is>
          <t>✓</t>
        </is>
      </c>
      <c r="C39" s="14">
        <f>IF(C37&gt;=1000000,"✓ $1M","—")</f>
        <v/>
      </c>
      <c r="D39" s="14">
        <f>IF(D37&gt;=1000000,"✓ $1M","—")</f>
        <v/>
      </c>
      <c r="E39" s="14">
        <f>IF(E37&gt;=1000000,"✓ $1M","—")</f>
        <v/>
      </c>
      <c r="F39" s="14">
        <f>IF(F37&gt;=1000000,"✓ $1M","—")</f>
        <v/>
      </c>
      <c r="G39" s="14">
        <f>IF(G37&gt;=1000000,"✓ $1M","—")</f>
        <v/>
      </c>
      <c r="H39" s="14">
        <f>IF(H37&gt;=1000000,"✓ $1M","—")</f>
        <v/>
      </c>
      <c r="I39" s="14">
        <f>IF(I37&gt;=1000000,"✓ $1M","—")</f>
        <v/>
      </c>
      <c r="J39" s="14">
        <f>IF(J37&gt;=1000000,"✓ $1M","—")</f>
        <v/>
      </c>
    </row>
  </sheetData>
  <mergeCells count="9">
    <mergeCell ref="A35:K35"/>
    <mergeCell ref="A20:K20"/>
    <mergeCell ref="A30:K30"/>
    <mergeCell ref="A15:K15"/>
    <mergeCell ref="A25:K25"/>
    <mergeCell ref="A2:K2"/>
    <mergeCell ref="A10:K10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2026-04-13T13:53:23Z</dcterms:created>
  <dcterms:modified xmlns:dcterms="http://purl.org/dc/terms/" xmlns:xsi="http://www.w3.org/2001/XMLSchema-instance" xsi:type="dcterms:W3CDTF">2026-04-13T13:53:24Z</dcterms:modified>
</cp:coreProperties>
</file>