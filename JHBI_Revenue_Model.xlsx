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 — Path to $1M" sheetId="1" state="visible" r:id="rId3"/>
    <sheet name="Assumptions" sheetId="2" state="visible" r:id="rId4"/>
    <sheet name="Revenue Model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<sst xmlns="http://schemas.openxmlformats.org/spreadsheetml/2006/main" count="186" uniqueCount="134">
  <si>
    <t xml:space="preserve">JHBI DS Apps  —  Path to $1M ARR</t>
  </si>
  <si>
    <t xml:space="preserve">   Three apps. ~81 FIs. Q4 FY27. All values pulled from Revenue Model sheet.</t>
  </si>
  <si>
    <t xml:space="preserve">QUARTERLY ARR SUMMARY</t>
  </si>
  <si>
    <t xml:space="preserve">Quarter</t>
  </si>
  <si>
    <t xml:space="preserve">Calendar</t>
  </si>
  <si>
    <t xml:space="preserve">Zelle Memo ARR</t>
  </si>
  <si>
    <t xml:space="preserve">Churn Sentinel ARR</t>
  </si>
  <si>
    <t xml:space="preserve">CommercialSignal ARR</t>
  </si>
  <si>
    <t xml:space="preserve">Gen. Wealth ARR</t>
  </si>
  <si>
    <t xml:space="preserve">Anomaly ARR</t>
  </si>
  <si>
    <t xml:space="preserve">Total ARR</t>
  </si>
  <si>
    <t xml:space="preserve">Q3 FY26</t>
  </si>
  <si>
    <t xml:space="preserve">Jan–Mar 2026</t>
  </si>
  <si>
    <t xml:space="preserve">Q4 FY26</t>
  </si>
  <si>
    <t xml:space="preserve">Apr–Jun 2026</t>
  </si>
  <si>
    <t xml:space="preserve">Q1 FY27</t>
  </si>
  <si>
    <t xml:space="preserve">Jul–Sep 2026</t>
  </si>
  <si>
    <t xml:space="preserve">Q2 FY27</t>
  </si>
  <si>
    <t xml:space="preserve">Oct–Dec 2026</t>
  </si>
  <si>
    <t xml:space="preserve">Q3 FY27</t>
  </si>
  <si>
    <t xml:space="preserve">Jan–Mar 2027</t>
  </si>
  <si>
    <t xml:space="preserve">Q4 FY27</t>
  </si>
  <si>
    <t xml:space="preserve">Apr–Jun 2027</t>
  </si>
  <si>
    <t xml:space="preserve">Q1 FY28</t>
  </si>
  <si>
    <t xml:space="preserve">Jul–Sep 2027</t>
  </si>
  <si>
    <t xml:space="preserve">Q2 FY28</t>
  </si>
  <si>
    <t xml:space="preserve">Oct–Dec 2027</t>
  </si>
  <si>
    <t xml:space="preserve">↑ $1M crossed Q4 FY27 (Apr–Jun 2027)</t>
  </si>
  <si>
    <t xml:space="preserve">KEY ASSUMPTIONS DRIVING THE MODEL</t>
  </si>
  <si>
    <t xml:space="preserve">Total JH Addressable FIs</t>
  </si>
  <si>
    <t xml:space="preserve">1,660</t>
  </si>
  <si>
    <t xml:space="preserve">Contracted core banking FIs</t>
  </si>
  <si>
    <t xml:space="preserve">CU Share</t>
  </si>
  <si>
    <t xml:space="preserve">44%</t>
  </si>
  <si>
    <t xml:space="preserve">Symitar / credit union base</t>
  </si>
  <si>
    <t xml:space="preserve">CU Discount</t>
  </si>
  <si>
    <t xml:space="preserve">12%</t>
  </si>
  <si>
    <t xml:space="preserve">Cooperative budget accommodation</t>
  </si>
  <si>
    <t xml:space="preserve">Zelle Penetration</t>
  </si>
  <si>
    <t xml:space="preserve">35%</t>
  </si>
  <si>
    <t xml:space="preserve">~580 FIs eligible for Zelle Memo</t>
  </si>
  <si>
    <t xml:space="preserve">Annual Subscription Churn</t>
  </si>
  <si>
    <t xml:space="preserve">8%</t>
  </si>
  <si>
    <t xml:space="preserve">FI churn on DS app subscriptions</t>
  </si>
  <si>
    <t xml:space="preserve">FIs needed to hit $1M</t>
  </si>
  <si>
    <t xml:space="preserve">~81</t>
  </si>
  <si>
    <t xml:space="preserve">Across 3 apps at Q4 FY27</t>
  </si>
  <si>
    <t xml:space="preserve">Penetration rate at $1M</t>
  </si>
  <si>
    <t xml:space="preserve">~4.9%</t>
  </si>
  <si>
    <t xml:space="preserve">81 FI-app subscriptions / 1,660 base</t>
  </si>
  <si>
    <t xml:space="preserve">Avg. subscription per FI-app</t>
  </si>
  <si>
    <t xml:space="preserve">~$12,300</t>
  </si>
  <si>
    <t xml:space="preserve">Blended across tiers and CU/bank mix</t>
  </si>
  <si>
    <t xml:space="preserve">JHBI Revenue Model  —  Assumptions &amp; Inputs</t>
  </si>
  <si>
    <t xml:space="preserve">   ■ Blue = Hardcoded input (editable)    ■ Black = Formula    ■ Yellow bg = Key assumption</t>
  </si>
  <si>
    <t xml:space="preserve">SECTION 1 — MARKET PARAMETERS</t>
  </si>
  <si>
    <t xml:space="preserve">Total Addressable FIs (JH Core)</t>
  </si>
  <si>
    <t xml:space="preserve">JH ~1,660 contracted core banking FIs (banks + CUs)</t>
  </si>
  <si>
    <t xml:space="preserve">CU Share of Base</t>
  </si>
  <si>
    <t xml:space="preserve">Est. Symitar/CU share; internal estimate</t>
  </si>
  <si>
    <t xml:space="preserve">Bank Share of Base</t>
  </si>
  <si>
    <t xml:space="preserve">Complement of CU share (formula-driven)</t>
  </si>
  <si>
    <t xml:space="preserve">CU Discount Rate</t>
  </si>
  <si>
    <t xml:space="preserve">Pricing accommodation for cooperative/NCUA budget cycles</t>
  </si>
  <si>
    <t xml:space="preserve">Zelle Penetration (% of FIs)</t>
  </si>
  <si>
    <t xml:space="preserve">Est. ~35% of JH FIs have JHA PayCenter / Zelle enabled</t>
  </si>
  <si>
    <t xml:space="preserve">Annual Subscription Churn Rate</t>
  </si>
  <si>
    <t xml:space="preserve">Annual FI churn on DS app subscriptions; adjust as needed</t>
  </si>
  <si>
    <t xml:space="preserve">SECTION 2 — FI BASE BY ASSET TIER</t>
  </si>
  <si>
    <t xml:space="preserve">Asset Tier</t>
  </si>
  <si>
    <t xml:space="preserve">Total FIs</t>
  </si>
  <si>
    <t xml:space="preserve">CU</t>
  </si>
  <si>
    <t xml:space="preserve">Bank</t>
  </si>
  <si>
    <t xml:space="preserve">Zelle-Enabled</t>
  </si>
  <si>
    <t xml:space="preserve">Notes</t>
  </si>
  <si>
    <t xml:space="preserve">&lt;$250M</t>
  </si>
  <si>
    <t xml:space="preserve">$250M–$1B</t>
  </si>
  <si>
    <t xml:space="preserve">$1B–$5B</t>
  </si>
  <si>
    <t xml:space="preserve">$5B+</t>
  </si>
  <si>
    <t xml:space="preserve">TOTAL</t>
  </si>
  <si>
    <t xml:space="preserve">SECTION 3 — DS APP PRICING  (Annual per FI, add-on to JHBI platform)</t>
  </si>
  <si>
    <t xml:space="preserve">App</t>
  </si>
  <si>
    <t xml:space="preserve">&lt;$250M (Bank)</t>
  </si>
  <si>
    <t xml:space="preserve">$250M–$1B (Bank)</t>
  </si>
  <si>
    <t xml:space="preserve">$1B–$5B (Bank)</t>
  </si>
  <si>
    <t xml:space="preserve">$5B+ (Bank)</t>
  </si>
  <si>
    <t xml:space="preserve">Zelle Memo Intelligence</t>
  </si>
  <si>
    <t xml:space="preserve">Zelle-enabled FIs only (~35% of base)</t>
  </si>
  <si>
    <t xml:space="preserve">Churn Sentinel</t>
  </si>
  <si>
    <t xml:space="preserve">Universal — all FI types, all tiers</t>
  </si>
  <si>
    <t xml:space="preserve">CommercialSignal</t>
  </si>
  <si>
    <t xml:space="preserve">Universal — runs on ACH/payments data</t>
  </si>
  <si>
    <t xml:space="preserve">Gen. Wealth Deflection</t>
  </si>
  <si>
    <t xml:space="preserve">Universal — requires core + household data (Phase 3)</t>
  </si>
  <si>
    <t xml:space="preserve">Anomaly Detection</t>
  </si>
  <si>
    <t xml:space="preserve">Universal — real-time streaming (Phase 3)</t>
  </si>
  <si>
    <t xml:space="preserve">SECTION 4 — CU EFFECTIVE PRICING  (Bank rate × (1 − CU Discount))</t>
  </si>
  <si>
    <t xml:space="preserve">&lt;$250M (CU)</t>
  </si>
  <si>
    <t xml:space="preserve">$250M–$1B (CU)</t>
  </si>
  <si>
    <t xml:space="preserve">$1B–$5B (CU)</t>
  </si>
  <si>
    <t xml:space="preserve">$5B+ (CU)</t>
  </si>
  <si>
    <t xml:space="preserve">SECTION 5 — BLENDED AVG SUBSCRIPTION PRICE  (Weighted by adoption tier mix, CU/Bank split)</t>
  </si>
  <si>
    <t xml:space="preserve">   Used in Revenue Model sheet. Weighted average accounts for tier mix of signing FIs and CU discount applied proportionally.</t>
  </si>
  <si>
    <t xml:space="preserve">Blended Avg Price / FI</t>
  </si>
  <si>
    <t xml:space="preserve">Annual FI Target</t>
  </si>
  <si>
    <t xml:space="preserve">Year 1 ARR Potential</t>
  </si>
  <si>
    <t xml:space="preserve">Source / Notes</t>
  </si>
  <si>
    <t xml:space="preserve">Tier mix: 20%/&lt;$250M, 50%/$250M-1B, 22.5%/$1B-5B, 7.5%/$5B+; CU share blended</t>
  </si>
  <si>
    <t xml:space="preserve">Broader tier reach; higher avg due to $1B+ FI interest</t>
  </si>
  <si>
    <t xml:space="preserve">Payments data only; moderate tier skew</t>
  </si>
  <si>
    <t xml:space="preserve">Core data dependency limits early adoption to mid/large tiers</t>
  </si>
  <si>
    <t xml:space="preserve">Highest price; complex streaming model; targets Tier 3-4</t>
  </si>
  <si>
    <t xml:space="preserve">TOTAL — Year 1 ARR Potential (all apps launched)</t>
  </si>
  <si>
    <t xml:space="preserve">JHBI DS Apps — Quarterly ARR Build  |  Path to $1M</t>
  </si>
  <si>
    <t xml:space="preserve">   ARR = Cumulative Active FIs × Annual Subscription Price.  Churn applied quarterly (Annual Rate ÷ 4).  All inputs in blue; formulas in black.</t>
  </si>
  <si>
    <t xml:space="preserve">Metric</t>
  </si>
  <si>
    <t xml:space="preserve">  Zelle Memo Intelligence</t>
  </si>
  <si>
    <t xml:space="preserve">New FIs Signed</t>
  </si>
  <si>
    <t xml:space="preserve">#</t>
  </si>
  <si>
    <t xml:space="preserve">Active FIs (Cumul., net churn)</t>
  </si>
  <si>
    <t xml:space="preserve">Ending ARR</t>
  </si>
  <si>
    <t xml:space="preserve">$</t>
  </si>
  <si>
    <t xml:space="preserve">  Churn Sentinel</t>
  </si>
  <si>
    <t xml:space="preserve">  CommercialSignal</t>
  </si>
  <si>
    <t xml:space="preserve">  Gen. Wealth Deflection</t>
  </si>
  <si>
    <t xml:space="preserve">  Anomaly Detection</t>
  </si>
  <si>
    <t xml:space="preserve">  TOTAL — COMBINED DS APP ARR</t>
  </si>
  <si>
    <t xml:space="preserve">Total Active FI App Subscriptions</t>
  </si>
  <si>
    <t xml:space="preserve">TOTAL ARR</t>
  </si>
  <si>
    <t xml:space="preserve">QoQ ARR Growth</t>
  </si>
  <si>
    <t xml:space="preserve">%</t>
  </si>
  <si>
    <t xml:space="preserve">"-"</t>
  </si>
  <si>
    <t xml:space="preserve">$1M ARR Milestone</t>
  </si>
  <si>
    <t xml:space="preserve">✓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</si>
</sst>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;&quot;($&quot;#,##0\);\-"/>
    <numFmt numFmtId="166" formatCode="#,##0;\(#,##0\);\-"/>
    <numFmt numFmtId="167" formatCode="0.0%;\(0.0%\);\-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8"/>
      <color rgb="FFFFFFFF"/>
      <name val="Arial"/>
      <family val="0"/>
      <charset val="1"/>
    </font>
    <font>
      <sz val="10"/>
      <color rgb="FFBFBFBF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06185F"/>
        <bgColor rgb="FF0D2E7A"/>
      </patternFill>
    </fill>
    <fill>
      <patternFill patternType="solid">
        <fgColor rgb="FFF5F5F5"/>
        <bgColor rgb="FFEBF3FB"/>
      </patternFill>
    </fill>
    <fill>
      <patternFill patternType="solid">
        <fgColor rgb="FF085CE5"/>
        <bgColor rgb="FF3366FF"/>
      </patternFill>
    </fill>
    <fill>
      <patternFill patternType="solid">
        <fgColor rgb="FF073FA8"/>
        <bgColor rgb="FF0D2E7A"/>
      </patternFill>
    </fill>
    <fill>
      <patternFill patternType="solid">
        <fgColor rgb="FFDCE6F1"/>
        <bgColor rgb="FFE2EFDA"/>
      </patternFill>
    </fill>
    <fill>
      <patternFill patternType="solid">
        <fgColor rgb="FFEBF3FB"/>
        <bgColor rgb="FFF5F5F5"/>
      </patternFill>
    </fill>
    <fill>
      <patternFill patternType="solid">
        <fgColor rgb="FFFFC000"/>
        <bgColor rgb="FFFF9900"/>
      </patternFill>
    </fill>
    <fill>
      <patternFill patternType="solid">
        <fgColor rgb="FFE2EFDA"/>
        <bgColor rgb="FFDCE6F1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5F5F5"/>
      </patternFill>
    </fill>
    <fill>
      <patternFill patternType="solid">
        <fgColor rgb="FF0D2E7A"/>
        <bgColor rgb="FF06185F"/>
      </patternFill>
    </fill>
    <fill>
      <patternFill patternType="solid">
        <fgColor rgb="FF575A5D"/>
        <bgColor rgb="FF595959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4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14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11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1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1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6185F"/>
      <rgbColor rgb="FF808000"/>
      <rgbColor rgb="FF800080"/>
      <rgbColor rgb="FF008080"/>
      <rgbColor rgb="FFBFBFBF"/>
      <rgbColor rgb="FF808080"/>
      <rgbColor rgb="FF9999FF"/>
      <rgbColor rgb="FF993366"/>
      <rgbColor rgb="FFF5F5F5"/>
      <rgbColor rgb="FFEBF3FB"/>
      <rgbColor rgb="FF660066"/>
      <rgbColor rgb="FFFF8080"/>
      <rgbColor rgb="FF085CE5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75A5D"/>
      <rgbColor rgb="FF969696"/>
      <rgbColor rgb="FF0D2E7A"/>
      <rgbColor rgb="FF339966"/>
      <rgbColor rgb="FF003300"/>
      <rgbColor rgb="FF333300"/>
      <rgbColor rgb="FF993300"/>
      <rgbColor rgb="FF993366"/>
      <rgbColor rgb="FF073FA8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6" min="1" style="0" width="18"/>
    <col collapsed="false" customWidth="true" hidden="false" outlineLevel="0" max="7" min="7" style="0" width="20"/>
    <col collapsed="false" customWidth="true" hidden="false" outlineLevel="0" max="8" min="8" style="0" width="26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4" customFormat="false" ht="18" hidden="false" customHeight="true" outlineLevel="0" collapsed="false">
      <c r="A4" s="3" t="s">
        <v>2</v>
      </c>
      <c r="B4" s="4"/>
      <c r="C4" s="4"/>
      <c r="D4" s="4"/>
      <c r="E4" s="4"/>
      <c r="F4" s="4"/>
      <c r="G4" s="4"/>
      <c r="H4" s="4"/>
    </row>
    <row r="5" customFormat="false" ht="18" hidden="false" customHeight="true" outlineLevel="0" collapsed="false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</row>
    <row r="6" customFormat="false" ht="18" hidden="false" customHeight="true" outlineLevel="0" collapsed="false">
      <c r="A6" s="6" t="s">
        <v>11</v>
      </c>
      <c r="B6" s="7" t="s">
        <v>12</v>
      </c>
      <c r="C6" s="8" t="n">
        <f aca="false">'Revenue Model'!C8</f>
        <v>0</v>
      </c>
      <c r="D6" s="8" t="n">
        <f aca="false">'Revenue Model'!C13</f>
        <v>0</v>
      </c>
      <c r="E6" s="8" t="n">
        <f aca="false">'Revenue Model'!C18</f>
        <v>0</v>
      </c>
      <c r="F6" s="8" t="n">
        <f aca="false">'Revenue Model'!C23</f>
        <v>0</v>
      </c>
      <c r="G6" s="8" t="n">
        <f aca="false">'Revenue Model'!C28</f>
        <v>0</v>
      </c>
      <c r="H6" s="9" t="n">
        <f aca="false">'Revenue Model'!C32</f>
        <v>0</v>
      </c>
    </row>
    <row r="7" customFormat="false" ht="18" hidden="false" customHeight="true" outlineLevel="0" collapsed="false">
      <c r="A7" s="10" t="s">
        <v>13</v>
      </c>
      <c r="B7" s="11" t="s">
        <v>14</v>
      </c>
      <c r="C7" s="12" t="n">
        <f aca="false">'Revenue Model'!D8</f>
        <v>0</v>
      </c>
      <c r="D7" s="12" t="n">
        <f aca="false">'Revenue Model'!D13</f>
        <v>0</v>
      </c>
      <c r="E7" s="12" t="n">
        <f aca="false">'Revenue Model'!D18</f>
        <v>0</v>
      </c>
      <c r="F7" s="12" t="n">
        <f aca="false">'Revenue Model'!D23</f>
        <v>0</v>
      </c>
      <c r="G7" s="12" t="n">
        <f aca="false">'Revenue Model'!D28</f>
        <v>0</v>
      </c>
      <c r="H7" s="13" t="n">
        <f aca="false">'Revenue Model'!D32</f>
        <v>0</v>
      </c>
    </row>
    <row r="8" customFormat="false" ht="18" hidden="false" customHeight="true" outlineLevel="0" collapsed="false">
      <c r="A8" s="6" t="s">
        <v>15</v>
      </c>
      <c r="B8" s="7" t="s">
        <v>16</v>
      </c>
      <c r="C8" s="8" t="n">
        <f aca="false">'Revenue Model'!E8</f>
        <v>116400</v>
      </c>
      <c r="D8" s="8" t="n">
        <f aca="false">'Revenue Model'!E13</f>
        <v>0</v>
      </c>
      <c r="E8" s="8" t="n">
        <f aca="false">'Revenue Model'!E18</f>
        <v>0</v>
      </c>
      <c r="F8" s="8" t="n">
        <f aca="false">'Revenue Model'!E23</f>
        <v>0</v>
      </c>
      <c r="G8" s="8" t="n">
        <f aca="false">'Revenue Model'!E28</f>
        <v>0</v>
      </c>
      <c r="H8" s="9" t="n">
        <f aca="false">'Revenue Model'!E32</f>
        <v>116400</v>
      </c>
    </row>
    <row r="9" customFormat="false" ht="18" hidden="false" customHeight="true" outlineLevel="0" collapsed="false">
      <c r="A9" s="10" t="s">
        <v>17</v>
      </c>
      <c r="B9" s="11" t="s">
        <v>18</v>
      </c>
      <c r="C9" s="12" t="n">
        <f aca="false">'Revenue Model'!F8</f>
        <v>203700</v>
      </c>
      <c r="D9" s="12" t="n">
        <f aca="false">'Revenue Model'!F13</f>
        <v>205500</v>
      </c>
      <c r="E9" s="12" t="n">
        <f aca="false">'Revenue Model'!F18</f>
        <v>0</v>
      </c>
      <c r="F9" s="12" t="n">
        <f aca="false">'Revenue Model'!F23</f>
        <v>0</v>
      </c>
      <c r="G9" s="12" t="n">
        <f aca="false">'Revenue Model'!F28</f>
        <v>0</v>
      </c>
      <c r="H9" s="13" t="n">
        <f aca="false">'Revenue Model'!F32</f>
        <v>409200</v>
      </c>
    </row>
    <row r="10" customFormat="false" ht="18" hidden="false" customHeight="true" outlineLevel="0" collapsed="false">
      <c r="A10" s="6" t="s">
        <v>19</v>
      </c>
      <c r="B10" s="7" t="s">
        <v>20</v>
      </c>
      <c r="C10" s="8" t="n">
        <f aca="false">'Revenue Model'!G8</f>
        <v>281300</v>
      </c>
      <c r="D10" s="8" t="n">
        <f aca="false">'Revenue Model'!G13</f>
        <v>369900</v>
      </c>
      <c r="E10" s="8" t="n">
        <f aca="false">'Revenue Model'!G18</f>
        <v>111000</v>
      </c>
      <c r="F10" s="8" t="n">
        <f aca="false">'Revenue Model'!G23</f>
        <v>0</v>
      </c>
      <c r="G10" s="8" t="n">
        <f aca="false">'Revenue Model'!G28</f>
        <v>0</v>
      </c>
      <c r="H10" s="9" t="n">
        <f aca="false">'Revenue Model'!G32</f>
        <v>762200</v>
      </c>
    </row>
    <row r="11" customFormat="false" ht="21.75" hidden="false" customHeight="true" outlineLevel="0" collapsed="false">
      <c r="A11" s="14" t="s">
        <v>21</v>
      </c>
      <c r="B11" s="15" t="s">
        <v>22</v>
      </c>
      <c r="C11" s="16" t="n">
        <f aca="false">'Revenue Model'!H8</f>
        <v>329800</v>
      </c>
      <c r="D11" s="16" t="n">
        <f aca="false">'Revenue Model'!H13</f>
        <v>506900</v>
      </c>
      <c r="E11" s="16" t="n">
        <f aca="false">'Revenue Model'!H18</f>
        <v>199800</v>
      </c>
      <c r="F11" s="16" t="n">
        <f aca="false">'Revenue Model'!H23</f>
        <v>0</v>
      </c>
      <c r="G11" s="16" t="n">
        <f aca="false">'Revenue Model'!H28</f>
        <v>0</v>
      </c>
      <c r="H11" s="17" t="n">
        <f aca="false">'Revenue Model'!H32</f>
        <v>1036500</v>
      </c>
    </row>
    <row r="12" customFormat="false" ht="18" hidden="false" customHeight="true" outlineLevel="0" collapsed="false">
      <c r="A12" s="6" t="s">
        <v>23</v>
      </c>
      <c r="B12" s="7" t="s">
        <v>24</v>
      </c>
      <c r="C12" s="8" t="n">
        <f aca="false">'Revenue Model'!I8</f>
        <v>368600</v>
      </c>
      <c r="D12" s="8" t="n">
        <f aca="false">'Revenue Model'!I13</f>
        <v>602800</v>
      </c>
      <c r="E12" s="8" t="n">
        <f aca="false">'Revenue Model'!I18</f>
        <v>266400</v>
      </c>
      <c r="F12" s="8" t="n">
        <f aca="false">'Revenue Model'!I23</f>
        <v>95200</v>
      </c>
      <c r="G12" s="8" t="n">
        <f aca="false">'Revenue Model'!I28</f>
        <v>0</v>
      </c>
      <c r="H12" s="9" t="n">
        <f aca="false">'Revenue Model'!I32</f>
        <v>1333000</v>
      </c>
    </row>
    <row r="13" customFormat="false" ht="18" hidden="false" customHeight="true" outlineLevel="0" collapsed="false">
      <c r="A13" s="10" t="s">
        <v>25</v>
      </c>
      <c r="B13" s="11" t="s">
        <v>26</v>
      </c>
      <c r="C13" s="12" t="n">
        <f aca="false">'Revenue Model'!J8</f>
        <v>397700</v>
      </c>
      <c r="D13" s="12" t="n">
        <f aca="false">'Revenue Model'!J13</f>
        <v>657600</v>
      </c>
      <c r="E13" s="12" t="n">
        <f aca="false">'Revenue Model'!J18</f>
        <v>321900</v>
      </c>
      <c r="F13" s="12" t="n">
        <f aca="false">'Revenue Model'!J23</f>
        <v>163200</v>
      </c>
      <c r="G13" s="12" t="n">
        <f aca="false">'Revenue Model'!J28</f>
        <v>117600</v>
      </c>
      <c r="H13" s="13" t="n">
        <f aca="false">'Revenue Model'!J32</f>
        <v>1658000</v>
      </c>
    </row>
    <row r="14" customFormat="false" ht="18" hidden="false" customHeight="true" outlineLevel="0" collapsed="false">
      <c r="A14" s="18" t="s">
        <v>27</v>
      </c>
      <c r="B14" s="18"/>
      <c r="C14" s="18"/>
      <c r="D14" s="18"/>
      <c r="E14" s="18"/>
      <c r="F14" s="18"/>
      <c r="G14" s="18"/>
      <c r="H14" s="18"/>
    </row>
    <row r="16" customFormat="false" ht="18" hidden="false" customHeight="true" outlineLevel="0" collapsed="false">
      <c r="A16" s="3" t="s">
        <v>28</v>
      </c>
      <c r="B16" s="4"/>
      <c r="C16" s="4"/>
      <c r="D16" s="4"/>
      <c r="E16" s="4"/>
      <c r="F16" s="4"/>
      <c r="G16" s="4"/>
      <c r="H16" s="4"/>
    </row>
    <row r="17" customFormat="false" ht="18" hidden="false" customHeight="true" outlineLevel="0" collapsed="false">
      <c r="A17" s="19" t="s">
        <v>29</v>
      </c>
      <c r="B17" s="19"/>
      <c r="C17" s="19"/>
      <c r="D17" s="19"/>
      <c r="E17" s="20" t="s">
        <v>30</v>
      </c>
      <c r="F17" s="21" t="s">
        <v>31</v>
      </c>
      <c r="G17" s="21"/>
      <c r="H17" s="21"/>
    </row>
    <row r="18" customFormat="false" ht="18" hidden="false" customHeight="true" outlineLevel="0" collapsed="false">
      <c r="A18" s="22" t="s">
        <v>32</v>
      </c>
      <c r="B18" s="22"/>
      <c r="C18" s="22"/>
      <c r="D18" s="22"/>
      <c r="E18" s="20" t="s">
        <v>33</v>
      </c>
      <c r="F18" s="23" t="s">
        <v>34</v>
      </c>
      <c r="G18" s="23"/>
      <c r="H18" s="23"/>
    </row>
    <row r="19" customFormat="false" ht="18" hidden="false" customHeight="true" outlineLevel="0" collapsed="false">
      <c r="A19" s="19" t="s">
        <v>35</v>
      </c>
      <c r="B19" s="19"/>
      <c r="C19" s="19"/>
      <c r="D19" s="19"/>
      <c r="E19" s="20" t="s">
        <v>36</v>
      </c>
      <c r="F19" s="21" t="s">
        <v>37</v>
      </c>
      <c r="G19" s="21"/>
      <c r="H19" s="21"/>
    </row>
    <row r="20" customFormat="false" ht="18" hidden="false" customHeight="true" outlineLevel="0" collapsed="false">
      <c r="A20" s="22" t="s">
        <v>38</v>
      </c>
      <c r="B20" s="22"/>
      <c r="C20" s="22"/>
      <c r="D20" s="22"/>
      <c r="E20" s="20" t="s">
        <v>39</v>
      </c>
      <c r="F20" s="23" t="s">
        <v>40</v>
      </c>
      <c r="G20" s="23"/>
      <c r="H20" s="23"/>
    </row>
    <row r="21" customFormat="false" ht="18" hidden="false" customHeight="true" outlineLevel="0" collapsed="false">
      <c r="A21" s="19" t="s">
        <v>41</v>
      </c>
      <c r="B21" s="19"/>
      <c r="C21" s="19"/>
      <c r="D21" s="19"/>
      <c r="E21" s="20" t="s">
        <v>42</v>
      </c>
      <c r="F21" s="21" t="s">
        <v>43</v>
      </c>
      <c r="G21" s="21"/>
      <c r="H21" s="21"/>
    </row>
    <row r="22" customFormat="false" ht="18" hidden="false" customHeight="true" outlineLevel="0" collapsed="false">
      <c r="A22" s="22" t="s">
        <v>44</v>
      </c>
      <c r="B22" s="22"/>
      <c r="C22" s="22"/>
      <c r="D22" s="22"/>
      <c r="E22" s="20" t="s">
        <v>45</v>
      </c>
      <c r="F22" s="23" t="s">
        <v>46</v>
      </c>
      <c r="G22" s="23"/>
      <c r="H22" s="23"/>
    </row>
    <row r="23" customFormat="false" ht="18" hidden="false" customHeight="true" outlineLevel="0" collapsed="false">
      <c r="A23" s="19" t="s">
        <v>47</v>
      </c>
      <c r="B23" s="19"/>
      <c r="C23" s="19"/>
      <c r="D23" s="19"/>
      <c r="E23" s="20" t="s">
        <v>48</v>
      </c>
      <c r="F23" s="21" t="s">
        <v>49</v>
      </c>
      <c r="G23" s="21"/>
      <c r="H23" s="21"/>
    </row>
    <row r="24" customFormat="false" ht="18" hidden="false" customHeight="true" outlineLevel="0" collapsed="false">
      <c r="A24" s="22" t="s">
        <v>50</v>
      </c>
      <c r="B24" s="22"/>
      <c r="C24" s="22"/>
      <c r="D24" s="22"/>
      <c r="E24" s="20" t="s">
        <v>51</v>
      </c>
      <c r="F24" s="23" t="s">
        <v>52</v>
      </c>
      <c r="G24" s="23"/>
      <c r="H24" s="23"/>
    </row>
  </sheetData>
  <mergeCells count="19">
    <mergeCell ref="A1:H1"/>
    <mergeCell ref="A2:H2"/>
    <mergeCell ref="A14:H14"/>
    <mergeCell ref="A17:D17"/>
    <mergeCell ref="F17:H17"/>
    <mergeCell ref="A18:D18"/>
    <mergeCell ref="F18:H18"/>
    <mergeCell ref="A19:D19"/>
    <mergeCell ref="F19:H19"/>
    <mergeCell ref="A20:D20"/>
    <mergeCell ref="F20:H20"/>
    <mergeCell ref="A21:D21"/>
    <mergeCell ref="F21:H21"/>
    <mergeCell ref="A22:D22"/>
    <mergeCell ref="F22:H22"/>
    <mergeCell ref="A23:D23"/>
    <mergeCell ref="F23:H23"/>
    <mergeCell ref="A24:D24"/>
    <mergeCell ref="F24:H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36"/>
    <col collapsed="false" customWidth="true" hidden="false" outlineLevel="0" max="5" min="2" style="0" width="16"/>
    <col collapsed="false" customWidth="true" hidden="false" outlineLevel="0" max="6" min="6" style="0" width="14"/>
    <col collapsed="false" customWidth="true" hidden="false" outlineLevel="0" max="7" min="7" style="0" width="28"/>
  </cols>
  <sheetData>
    <row r="1" customFormat="false" ht="30" hidden="false" customHeight="true" outlineLevel="0" collapsed="false">
      <c r="A1" s="1" t="s">
        <v>53</v>
      </c>
      <c r="B1" s="1"/>
      <c r="C1" s="1"/>
      <c r="D1" s="1"/>
      <c r="E1" s="1"/>
      <c r="F1" s="1"/>
      <c r="G1" s="1"/>
    </row>
    <row r="2" customFormat="false" ht="15.75" hidden="false" customHeight="true" outlineLevel="0" collapsed="false">
      <c r="A2" s="24" t="s">
        <v>54</v>
      </c>
      <c r="B2" s="24"/>
      <c r="C2" s="24"/>
      <c r="D2" s="24"/>
      <c r="E2" s="24"/>
      <c r="F2" s="24"/>
      <c r="G2" s="24"/>
    </row>
    <row r="4" customFormat="false" ht="18" hidden="false" customHeight="true" outlineLevel="0" collapsed="false">
      <c r="A4" s="3" t="s">
        <v>55</v>
      </c>
      <c r="B4" s="4"/>
      <c r="C4" s="4"/>
      <c r="D4" s="4"/>
      <c r="E4" s="4"/>
      <c r="F4" s="4"/>
      <c r="G4" s="4"/>
    </row>
    <row r="5" customFormat="false" ht="18" hidden="false" customHeight="true" outlineLevel="0" collapsed="false">
      <c r="A5" s="25" t="s">
        <v>56</v>
      </c>
      <c r="B5" s="26" t="n">
        <v>1660</v>
      </c>
      <c r="G5" s="27" t="s">
        <v>57</v>
      </c>
    </row>
    <row r="6" customFormat="false" ht="18" hidden="false" customHeight="true" outlineLevel="0" collapsed="false">
      <c r="A6" s="25" t="s">
        <v>58</v>
      </c>
      <c r="B6" s="28" t="n">
        <v>0.44</v>
      </c>
      <c r="G6" s="27" t="s">
        <v>59</v>
      </c>
    </row>
    <row r="7" customFormat="false" ht="18" hidden="false" customHeight="true" outlineLevel="0" collapsed="false">
      <c r="A7" s="25" t="s">
        <v>60</v>
      </c>
      <c r="B7" s="29" t="n">
        <f aca="false">1-B6</f>
        <v>0.56</v>
      </c>
      <c r="G7" s="27" t="s">
        <v>61</v>
      </c>
    </row>
    <row r="8" customFormat="false" ht="18" hidden="false" customHeight="true" outlineLevel="0" collapsed="false">
      <c r="A8" s="25" t="s">
        <v>62</v>
      </c>
      <c r="B8" s="28" t="n">
        <v>0.12</v>
      </c>
      <c r="G8" s="27" t="s">
        <v>63</v>
      </c>
    </row>
    <row r="9" customFormat="false" ht="18" hidden="false" customHeight="true" outlineLevel="0" collapsed="false">
      <c r="A9" s="25" t="s">
        <v>64</v>
      </c>
      <c r="B9" s="28" t="n">
        <v>0.35</v>
      </c>
      <c r="G9" s="27" t="s">
        <v>65</v>
      </c>
    </row>
    <row r="10" customFormat="false" ht="18" hidden="false" customHeight="true" outlineLevel="0" collapsed="false">
      <c r="A10" s="25" t="s">
        <v>66</v>
      </c>
      <c r="B10" s="28" t="n">
        <v>0.08</v>
      </c>
      <c r="G10" s="27" t="s">
        <v>67</v>
      </c>
    </row>
    <row r="12" customFormat="false" ht="18" hidden="false" customHeight="true" outlineLevel="0" collapsed="false">
      <c r="A12" s="3" t="s">
        <v>68</v>
      </c>
      <c r="B12" s="4"/>
      <c r="C12" s="4"/>
      <c r="D12" s="4"/>
      <c r="E12" s="4"/>
      <c r="F12" s="4"/>
      <c r="G12" s="4"/>
    </row>
    <row r="13" customFormat="false" ht="18" hidden="false" customHeight="true" outlineLevel="0" collapsed="false">
      <c r="A13" s="5" t="s">
        <v>69</v>
      </c>
      <c r="B13" s="5" t="s">
        <v>70</v>
      </c>
      <c r="C13" s="5" t="s">
        <v>71</v>
      </c>
      <c r="D13" s="5" t="s">
        <v>72</v>
      </c>
      <c r="E13" s="5" t="s">
        <v>73</v>
      </c>
      <c r="F13" s="5"/>
      <c r="G13" s="5" t="s">
        <v>74</v>
      </c>
    </row>
    <row r="14" customFormat="false" ht="18" hidden="false" customHeight="true" outlineLevel="0" collapsed="false">
      <c r="A14" s="19" t="s">
        <v>75</v>
      </c>
      <c r="B14" s="26" t="n">
        <v>500</v>
      </c>
      <c r="C14" s="30" t="n">
        <f aca="false">ROUND(B14*$B$5,0)</f>
        <v>830000</v>
      </c>
      <c r="D14" s="30" t="n">
        <f aca="false">B14-C14</f>
        <v>-829500</v>
      </c>
      <c r="E14" s="30" t="n">
        <f aca="false">ROUND(B14*$B$8,0)</f>
        <v>60</v>
      </c>
    </row>
    <row r="15" customFormat="false" ht="18" hidden="false" customHeight="true" outlineLevel="0" collapsed="false">
      <c r="A15" s="22" t="s">
        <v>76</v>
      </c>
      <c r="B15" s="26" t="n">
        <v>800</v>
      </c>
      <c r="C15" s="31" t="n">
        <f aca="false">ROUND(B15*$B$5,0)</f>
        <v>1328000</v>
      </c>
      <c r="D15" s="31" t="n">
        <f aca="false">B15-C15</f>
        <v>-1327200</v>
      </c>
      <c r="E15" s="31" t="n">
        <f aca="false">ROUND(B15*$B$8,0)</f>
        <v>96</v>
      </c>
    </row>
    <row r="16" customFormat="false" ht="18" hidden="false" customHeight="true" outlineLevel="0" collapsed="false">
      <c r="A16" s="19" t="s">
        <v>77</v>
      </c>
      <c r="B16" s="26" t="n">
        <v>280</v>
      </c>
      <c r="C16" s="30" t="n">
        <f aca="false">ROUND(B16*$B$5,0)</f>
        <v>464800</v>
      </c>
      <c r="D16" s="30" t="n">
        <f aca="false">B16-C16</f>
        <v>-464520</v>
      </c>
      <c r="E16" s="30" t="n">
        <f aca="false">ROUND(B16*$B$8,0)</f>
        <v>34</v>
      </c>
    </row>
    <row r="17" customFormat="false" ht="18" hidden="false" customHeight="true" outlineLevel="0" collapsed="false">
      <c r="A17" s="22" t="s">
        <v>78</v>
      </c>
      <c r="B17" s="26" t="n">
        <v>80</v>
      </c>
      <c r="C17" s="31" t="n">
        <f aca="false">ROUND(B17*$B$5,0)</f>
        <v>132800</v>
      </c>
      <c r="D17" s="31" t="n">
        <f aca="false">B17-C17</f>
        <v>-132720</v>
      </c>
      <c r="E17" s="31" t="n">
        <f aca="false">ROUND(B17*$B$8,0)</f>
        <v>10</v>
      </c>
    </row>
    <row r="18" customFormat="false" ht="18" hidden="false" customHeight="true" outlineLevel="0" collapsed="false">
      <c r="A18" s="18" t="s">
        <v>79</v>
      </c>
      <c r="B18" s="32" t="n">
        <f aca="false">SUM(B14:B17)</f>
        <v>1660</v>
      </c>
      <c r="C18" s="32" t="n">
        <f aca="false">SUM(C14:C17)</f>
        <v>2755600</v>
      </c>
      <c r="D18" s="32" t="n">
        <f aca="false">SUM(D14:D17)</f>
        <v>-2753940</v>
      </c>
      <c r="E18" s="32" t="n">
        <f aca="false">SUM(E14:E17)</f>
        <v>200</v>
      </c>
    </row>
    <row r="20" customFormat="false" ht="18" hidden="false" customHeight="true" outlineLevel="0" collapsed="false">
      <c r="A20" s="3" t="s">
        <v>80</v>
      </c>
      <c r="B20" s="4"/>
      <c r="C20" s="4"/>
      <c r="D20" s="4"/>
      <c r="E20" s="4"/>
      <c r="F20" s="4"/>
      <c r="G20" s="4"/>
    </row>
    <row r="21" customFormat="false" ht="18" hidden="false" customHeight="true" outlineLevel="0" collapsed="false">
      <c r="A21" s="5" t="s">
        <v>81</v>
      </c>
      <c r="B21" s="5" t="s">
        <v>82</v>
      </c>
      <c r="C21" s="5" t="s">
        <v>83</v>
      </c>
      <c r="D21" s="5" t="s">
        <v>84</v>
      </c>
      <c r="E21" s="5" t="s">
        <v>85</v>
      </c>
      <c r="F21" s="5"/>
      <c r="G21" s="5" t="s">
        <v>74</v>
      </c>
    </row>
    <row r="22" customFormat="false" ht="18" hidden="false" customHeight="true" outlineLevel="0" collapsed="false">
      <c r="A22" s="19" t="s">
        <v>86</v>
      </c>
      <c r="B22" s="33" t="n">
        <v>5000</v>
      </c>
      <c r="C22" s="33" t="n">
        <v>8000</v>
      </c>
      <c r="D22" s="33" t="n">
        <v>15000</v>
      </c>
      <c r="E22" s="33" t="n">
        <v>25000</v>
      </c>
      <c r="G22" s="34" t="s">
        <v>87</v>
      </c>
    </row>
    <row r="23" customFormat="false" ht="18" hidden="false" customHeight="true" outlineLevel="0" collapsed="false">
      <c r="A23" s="22" t="s">
        <v>88</v>
      </c>
      <c r="B23" s="33" t="n">
        <v>8000</v>
      </c>
      <c r="C23" s="33" t="n">
        <v>12000</v>
      </c>
      <c r="D23" s="33" t="n">
        <v>22000</v>
      </c>
      <c r="E23" s="33" t="n">
        <v>35000</v>
      </c>
      <c r="G23" s="34" t="s">
        <v>89</v>
      </c>
    </row>
    <row r="24" customFormat="false" ht="18" hidden="false" customHeight="true" outlineLevel="0" collapsed="false">
      <c r="A24" s="19" t="s">
        <v>90</v>
      </c>
      <c r="B24" s="33" t="n">
        <v>6000</v>
      </c>
      <c r="C24" s="33" t="n">
        <v>10000</v>
      </c>
      <c r="D24" s="33" t="n">
        <v>18000</v>
      </c>
      <c r="E24" s="33" t="n">
        <v>28000</v>
      </c>
      <c r="G24" s="34" t="s">
        <v>91</v>
      </c>
    </row>
    <row r="25" customFormat="false" ht="18" hidden="false" customHeight="true" outlineLevel="0" collapsed="false">
      <c r="A25" s="22" t="s">
        <v>92</v>
      </c>
      <c r="B25" s="33" t="n">
        <v>8000</v>
      </c>
      <c r="C25" s="33" t="n">
        <v>12000</v>
      </c>
      <c r="D25" s="33" t="n">
        <v>20000</v>
      </c>
      <c r="E25" s="33" t="n">
        <v>30000</v>
      </c>
      <c r="G25" s="34" t="s">
        <v>93</v>
      </c>
    </row>
    <row r="26" customFormat="false" ht="18" hidden="false" customHeight="true" outlineLevel="0" collapsed="false">
      <c r="A26" s="19" t="s">
        <v>94</v>
      </c>
      <c r="B26" s="33" t="n">
        <v>8000</v>
      </c>
      <c r="C26" s="33" t="n">
        <v>15000</v>
      </c>
      <c r="D26" s="33" t="n">
        <v>25000</v>
      </c>
      <c r="E26" s="33" t="n">
        <v>40000</v>
      </c>
      <c r="G26" s="34" t="s">
        <v>95</v>
      </c>
    </row>
    <row r="28" customFormat="false" ht="18" hidden="false" customHeight="true" outlineLevel="0" collapsed="false">
      <c r="A28" s="35" t="s">
        <v>96</v>
      </c>
      <c r="B28" s="36"/>
      <c r="C28" s="36"/>
      <c r="D28" s="36"/>
      <c r="E28" s="36"/>
      <c r="F28" s="36"/>
      <c r="G28" s="36"/>
    </row>
    <row r="29" customFormat="false" ht="18" hidden="false" customHeight="true" outlineLevel="0" collapsed="false">
      <c r="A29" s="5" t="s">
        <v>81</v>
      </c>
      <c r="B29" s="5" t="s">
        <v>97</v>
      </c>
      <c r="C29" s="5" t="s">
        <v>98</v>
      </c>
      <c r="D29" s="5" t="s">
        <v>99</v>
      </c>
      <c r="E29" s="5" t="s">
        <v>100</v>
      </c>
      <c r="F29" s="5"/>
      <c r="G29" s="5"/>
    </row>
    <row r="30" customFormat="false" ht="18" hidden="false" customHeight="true" outlineLevel="0" collapsed="false">
      <c r="A30" s="37" t="str">
        <f aca="false">Assumptions!A22</f>
        <v>Zelle Memo Intelligence</v>
      </c>
      <c r="B30" s="38" t="n">
        <f aca="false">Assumptions!B22*(1-$B$7)</f>
        <v>2200</v>
      </c>
      <c r="C30" s="38" t="n">
        <f aca="false">Assumptions!C22*(1-$B$7)</f>
        <v>3520</v>
      </c>
      <c r="D30" s="38" t="n">
        <f aca="false">Assumptions!D22*(1-$B$7)</f>
        <v>6600</v>
      </c>
      <c r="E30" s="38" t="n">
        <f aca="false">Assumptions!E22*(1-$B$7)</f>
        <v>11000</v>
      </c>
    </row>
    <row r="31" customFormat="false" ht="18" hidden="false" customHeight="true" outlineLevel="0" collapsed="false">
      <c r="A31" s="39" t="str">
        <f aca="false">Assumptions!A23</f>
        <v>Churn Sentinel</v>
      </c>
      <c r="B31" s="40" t="n">
        <f aca="false">Assumptions!B23*(1-$B$7)</f>
        <v>3520</v>
      </c>
      <c r="C31" s="40" t="n">
        <f aca="false">Assumptions!C23*(1-$B$7)</f>
        <v>5280</v>
      </c>
      <c r="D31" s="40" t="n">
        <f aca="false">Assumptions!D23*(1-$B$7)</f>
        <v>9680</v>
      </c>
      <c r="E31" s="40" t="n">
        <f aca="false">Assumptions!E23*(1-$B$7)</f>
        <v>15400</v>
      </c>
    </row>
    <row r="32" customFormat="false" ht="18" hidden="false" customHeight="true" outlineLevel="0" collapsed="false">
      <c r="A32" s="37" t="str">
        <f aca="false">Assumptions!A24</f>
        <v>CommercialSignal</v>
      </c>
      <c r="B32" s="38" t="n">
        <f aca="false">Assumptions!B24*(1-$B$7)</f>
        <v>2640</v>
      </c>
      <c r="C32" s="38" t="n">
        <f aca="false">Assumptions!C24*(1-$B$7)</f>
        <v>4400</v>
      </c>
      <c r="D32" s="38" t="n">
        <f aca="false">Assumptions!D24*(1-$B$7)</f>
        <v>7920</v>
      </c>
      <c r="E32" s="38" t="n">
        <f aca="false">Assumptions!E24*(1-$B$7)</f>
        <v>12320</v>
      </c>
    </row>
    <row r="33" customFormat="false" ht="18" hidden="false" customHeight="true" outlineLevel="0" collapsed="false">
      <c r="A33" s="39" t="str">
        <f aca="false">Assumptions!A25</f>
        <v>Gen. Wealth Deflection</v>
      </c>
      <c r="B33" s="40" t="n">
        <f aca="false">Assumptions!B25*(1-$B$7)</f>
        <v>3520</v>
      </c>
      <c r="C33" s="40" t="n">
        <f aca="false">Assumptions!C25*(1-$B$7)</f>
        <v>5280</v>
      </c>
      <c r="D33" s="40" t="n">
        <f aca="false">Assumptions!D25*(1-$B$7)</f>
        <v>8800</v>
      </c>
      <c r="E33" s="40" t="n">
        <f aca="false">Assumptions!E25*(1-$B$7)</f>
        <v>13200</v>
      </c>
    </row>
    <row r="34" customFormat="false" ht="18" hidden="false" customHeight="true" outlineLevel="0" collapsed="false">
      <c r="A34" s="37" t="str">
        <f aca="false">Assumptions!A26</f>
        <v>Anomaly Detection</v>
      </c>
      <c r="B34" s="38" t="n">
        <f aca="false">Assumptions!B26*(1-$B$7)</f>
        <v>3520</v>
      </c>
      <c r="C34" s="38" t="n">
        <f aca="false">Assumptions!C26*(1-$B$7)</f>
        <v>6600</v>
      </c>
      <c r="D34" s="38" t="n">
        <f aca="false">Assumptions!D26*(1-$B$7)</f>
        <v>11000</v>
      </c>
      <c r="E34" s="38" t="n">
        <f aca="false">Assumptions!E26*(1-$B$7)</f>
        <v>17600</v>
      </c>
    </row>
    <row r="36" customFormat="false" ht="18" hidden="false" customHeight="true" outlineLevel="0" collapsed="false">
      <c r="A36" s="3" t="s">
        <v>101</v>
      </c>
      <c r="B36" s="4"/>
      <c r="C36" s="4"/>
      <c r="D36" s="4"/>
      <c r="E36" s="4"/>
      <c r="F36" s="4"/>
      <c r="G36" s="4"/>
    </row>
    <row r="37" customFormat="false" ht="15" hidden="false" customHeight="false" outlineLevel="0" collapsed="false">
      <c r="A37" s="2" t="s">
        <v>102</v>
      </c>
      <c r="B37" s="2"/>
      <c r="C37" s="2"/>
      <c r="D37" s="2"/>
      <c r="E37" s="2"/>
      <c r="F37" s="2"/>
      <c r="G37" s="2"/>
    </row>
    <row r="38" customFormat="false" ht="18" hidden="false" customHeight="true" outlineLevel="0" collapsed="false">
      <c r="A38" s="5" t="s">
        <v>81</v>
      </c>
      <c r="B38" s="5" t="s">
        <v>103</v>
      </c>
      <c r="C38" s="5" t="s">
        <v>104</v>
      </c>
      <c r="D38" s="5" t="s">
        <v>105</v>
      </c>
      <c r="E38" s="5"/>
      <c r="F38" s="5"/>
      <c r="G38" s="5" t="s">
        <v>106</v>
      </c>
    </row>
    <row r="39" customFormat="false" ht="18" hidden="false" customHeight="true" outlineLevel="0" collapsed="false">
      <c r="A39" s="19" t="s">
        <v>86</v>
      </c>
      <c r="B39" s="33" t="n">
        <v>9700</v>
      </c>
      <c r="C39" s="26" t="n">
        <v>40</v>
      </c>
      <c r="D39" s="41" t="n">
        <f aca="false">B39*C39</f>
        <v>388000</v>
      </c>
      <c r="G39" s="27" t="s">
        <v>107</v>
      </c>
    </row>
    <row r="40" customFormat="false" ht="18" hidden="false" customHeight="true" outlineLevel="0" collapsed="false">
      <c r="A40" s="22" t="s">
        <v>88</v>
      </c>
      <c r="B40" s="33" t="n">
        <v>13700</v>
      </c>
      <c r="C40" s="26" t="n">
        <v>50</v>
      </c>
      <c r="D40" s="41" t="n">
        <f aca="false">B40*C40</f>
        <v>685000</v>
      </c>
      <c r="G40" s="27" t="s">
        <v>108</v>
      </c>
    </row>
    <row r="41" customFormat="false" ht="18" hidden="false" customHeight="true" outlineLevel="0" collapsed="false">
      <c r="A41" s="19" t="s">
        <v>90</v>
      </c>
      <c r="B41" s="33" t="n">
        <v>11100</v>
      </c>
      <c r="C41" s="26" t="n">
        <v>35</v>
      </c>
      <c r="D41" s="41" t="n">
        <f aca="false">B41*C41</f>
        <v>388500</v>
      </c>
      <c r="G41" s="27" t="s">
        <v>109</v>
      </c>
    </row>
    <row r="42" customFormat="false" ht="18" hidden="false" customHeight="true" outlineLevel="0" collapsed="false">
      <c r="A42" s="22" t="s">
        <v>92</v>
      </c>
      <c r="B42" s="33" t="n">
        <v>13600</v>
      </c>
      <c r="C42" s="26" t="n">
        <v>24</v>
      </c>
      <c r="D42" s="41" t="n">
        <f aca="false">B42*C42</f>
        <v>326400</v>
      </c>
      <c r="G42" s="27" t="s">
        <v>110</v>
      </c>
    </row>
    <row r="43" customFormat="false" ht="18" hidden="false" customHeight="true" outlineLevel="0" collapsed="false">
      <c r="A43" s="19" t="s">
        <v>94</v>
      </c>
      <c r="B43" s="33" t="n">
        <v>16800</v>
      </c>
      <c r="C43" s="26" t="n">
        <v>24</v>
      </c>
      <c r="D43" s="41" t="n">
        <f aca="false">B43*C43</f>
        <v>403200</v>
      </c>
      <c r="G43" s="27" t="s">
        <v>111</v>
      </c>
    </row>
    <row r="44" customFormat="false" ht="18" hidden="false" customHeight="true" outlineLevel="0" collapsed="false">
      <c r="A44" s="18" t="s">
        <v>112</v>
      </c>
      <c r="B44" s="42"/>
      <c r="C44" s="32" t="n">
        <f aca="false">SUM(C39:C43)</f>
        <v>173</v>
      </c>
      <c r="D44" s="43" t="n">
        <f aca="false">SUM(D39:D43)</f>
        <v>2191100</v>
      </c>
      <c r="E44" s="42"/>
      <c r="F44" s="42"/>
      <c r="G44" s="42"/>
    </row>
  </sheetData>
  <mergeCells count="3">
    <mergeCell ref="A1:G1"/>
    <mergeCell ref="A2:G2"/>
    <mergeCell ref="A37:G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4"/>
    <col collapsed="false" customWidth="true" hidden="false" outlineLevel="0" max="11" min="3" style="0" width="13"/>
  </cols>
  <sheetData>
    <row r="1" customFormat="false" ht="30" hidden="false" customHeight="true" outlineLevel="0" collapsed="false">
      <c r="A1" s="1" t="s">
        <v>113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5.75" hidden="false" customHeight="true" outlineLevel="0" collapsed="false">
      <c r="A2" s="2" t="s">
        <v>114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customFormat="false" ht="19.5" hidden="false" customHeight="true" outlineLevel="0" collapsed="false">
      <c r="A3" s="18" t="s">
        <v>115</v>
      </c>
      <c r="B3" s="44" t="s">
        <v>81</v>
      </c>
      <c r="C3" s="44" t="s">
        <v>11</v>
      </c>
      <c r="D3" s="44" t="s">
        <v>13</v>
      </c>
      <c r="E3" s="44" t="s">
        <v>15</v>
      </c>
      <c r="F3" s="44" t="s">
        <v>17</v>
      </c>
      <c r="G3" s="44" t="s">
        <v>19</v>
      </c>
      <c r="H3" s="44" t="s">
        <v>21</v>
      </c>
      <c r="I3" s="44" t="s">
        <v>23</v>
      </c>
      <c r="J3" s="44" t="s">
        <v>25</v>
      </c>
    </row>
    <row r="4" customFormat="false" ht="15.75" hidden="false" customHeight="true" outlineLevel="0" collapsed="false">
      <c r="A4" s="45"/>
      <c r="B4" s="45"/>
      <c r="C4" s="46" t="s">
        <v>12</v>
      </c>
      <c r="D4" s="46" t="s">
        <v>14</v>
      </c>
      <c r="E4" s="46" t="s">
        <v>16</v>
      </c>
      <c r="F4" s="46" t="s">
        <v>18</v>
      </c>
      <c r="G4" s="46" t="s">
        <v>20</v>
      </c>
      <c r="H4" s="46" t="s">
        <v>22</v>
      </c>
      <c r="I4" s="46" t="s">
        <v>24</v>
      </c>
      <c r="J4" s="46" t="s">
        <v>26</v>
      </c>
    </row>
    <row r="5" customFormat="false" ht="19.5" hidden="false" customHeight="true" outlineLevel="0" collapsed="false">
      <c r="A5" s="47" t="s">
        <v>116</v>
      </c>
      <c r="B5" s="47"/>
      <c r="C5" s="47"/>
      <c r="D5" s="47"/>
      <c r="E5" s="47"/>
      <c r="F5" s="47"/>
      <c r="G5" s="47"/>
      <c r="H5" s="47"/>
      <c r="I5" s="47"/>
      <c r="J5" s="47"/>
      <c r="K5" s="47"/>
    </row>
    <row r="6" customFormat="false" ht="18" hidden="false" customHeight="true" outlineLevel="0" collapsed="false">
      <c r="A6" s="19" t="s">
        <v>117</v>
      </c>
      <c r="B6" s="6" t="s">
        <v>118</v>
      </c>
      <c r="C6" s="48" t="n">
        <v>0</v>
      </c>
      <c r="D6" s="48" t="n">
        <v>0</v>
      </c>
      <c r="E6" s="26" t="n">
        <v>12</v>
      </c>
      <c r="F6" s="26" t="n">
        <v>10</v>
      </c>
      <c r="G6" s="26" t="n">
        <v>10</v>
      </c>
      <c r="H6" s="26" t="n">
        <v>8</v>
      </c>
      <c r="I6" s="26" t="n">
        <v>7</v>
      </c>
      <c r="J6" s="26" t="n">
        <v>6</v>
      </c>
    </row>
    <row r="7" customFormat="false" ht="18" hidden="false" customHeight="true" outlineLevel="0" collapsed="false">
      <c r="A7" s="22" t="s">
        <v>119</v>
      </c>
      <c r="B7" s="10" t="s">
        <v>118</v>
      </c>
      <c r="C7" s="31" t="n">
        <f aca="false">ROUND(C6,0)</f>
        <v>0</v>
      </c>
      <c r="D7" s="31" t="n">
        <f aca="false">ROUND(C7*(1-Assumptions!$B$9/4)+D6,0)</f>
        <v>0</v>
      </c>
      <c r="E7" s="31" t="n">
        <f aca="false">ROUND(D7*(1-Assumptions!$B$9/4)+E6,0)</f>
        <v>12</v>
      </c>
      <c r="F7" s="31" t="n">
        <f aca="false">ROUND(E7*(1-Assumptions!$B$9/4)+F6,0)</f>
        <v>21</v>
      </c>
      <c r="G7" s="31" t="n">
        <f aca="false">ROUND(F7*(1-Assumptions!$B$9/4)+G6,0)</f>
        <v>29</v>
      </c>
      <c r="H7" s="31" t="n">
        <f aca="false">ROUND(G7*(1-Assumptions!$B$9/4)+H6,0)</f>
        <v>34</v>
      </c>
      <c r="I7" s="31" t="n">
        <f aca="false">ROUND(H7*(1-Assumptions!$B$9/4)+I6,0)</f>
        <v>38</v>
      </c>
      <c r="J7" s="31" t="n">
        <f aca="false">ROUND(I7*(1-Assumptions!$B$9/4)+J6,0)</f>
        <v>41</v>
      </c>
    </row>
    <row r="8" customFormat="false" ht="18" hidden="false" customHeight="true" outlineLevel="0" collapsed="false">
      <c r="A8" s="49" t="s">
        <v>120</v>
      </c>
      <c r="B8" s="20" t="s">
        <v>121</v>
      </c>
      <c r="C8" s="41" t="n">
        <f aca="false">ROUND(C7*Assumptions!$B$39,0)</f>
        <v>0</v>
      </c>
      <c r="D8" s="41" t="n">
        <f aca="false">ROUND(D7*Assumptions!$B$39,0)</f>
        <v>0</v>
      </c>
      <c r="E8" s="41" t="n">
        <f aca="false">ROUND(E7*Assumptions!$B$39,0)</f>
        <v>116400</v>
      </c>
      <c r="F8" s="41" t="n">
        <f aca="false">ROUND(F7*Assumptions!$B$39,0)</f>
        <v>203700</v>
      </c>
      <c r="G8" s="41" t="n">
        <f aca="false">ROUND(G7*Assumptions!$B$39,0)</f>
        <v>281300</v>
      </c>
      <c r="H8" s="41" t="n">
        <f aca="false">ROUND(H7*Assumptions!$B$39,0)</f>
        <v>329800</v>
      </c>
      <c r="I8" s="41" t="n">
        <f aca="false">ROUND(I7*Assumptions!$B$39,0)</f>
        <v>368600</v>
      </c>
      <c r="J8" s="41" t="n">
        <f aca="false">ROUND(J7*Assumptions!$B$39,0)</f>
        <v>397700</v>
      </c>
    </row>
    <row r="10" customFormat="false" ht="19.5" hidden="false" customHeight="true" outlineLevel="0" collapsed="false">
      <c r="A10" s="50" t="s">
        <v>122</v>
      </c>
      <c r="B10" s="50"/>
      <c r="C10" s="50"/>
      <c r="D10" s="50"/>
      <c r="E10" s="50"/>
      <c r="F10" s="50"/>
      <c r="G10" s="50"/>
      <c r="H10" s="50"/>
      <c r="I10" s="50"/>
      <c r="J10" s="50"/>
      <c r="K10" s="50"/>
    </row>
    <row r="11" customFormat="false" ht="18" hidden="false" customHeight="true" outlineLevel="0" collapsed="false">
      <c r="A11" s="19" t="s">
        <v>117</v>
      </c>
      <c r="B11" s="6" t="s">
        <v>118</v>
      </c>
      <c r="C11" s="48" t="n">
        <v>0</v>
      </c>
      <c r="D11" s="48" t="n">
        <v>0</v>
      </c>
      <c r="E11" s="48" t="n">
        <v>0</v>
      </c>
      <c r="F11" s="26" t="n">
        <v>15</v>
      </c>
      <c r="G11" s="26" t="n">
        <v>13</v>
      </c>
      <c r="H11" s="26" t="n">
        <v>12</v>
      </c>
      <c r="I11" s="26" t="n">
        <v>10</v>
      </c>
      <c r="J11" s="26" t="n">
        <v>8</v>
      </c>
    </row>
    <row r="12" customFormat="false" ht="18" hidden="false" customHeight="true" outlineLevel="0" collapsed="false">
      <c r="A12" s="22" t="s">
        <v>119</v>
      </c>
      <c r="B12" s="10" t="s">
        <v>118</v>
      </c>
      <c r="C12" s="31" t="n">
        <f aca="false">ROUND(C11,0)</f>
        <v>0</v>
      </c>
      <c r="D12" s="31" t="n">
        <f aca="false">ROUND(C12*(1-Assumptions!$B$9/4)+D11,0)</f>
        <v>0</v>
      </c>
      <c r="E12" s="31" t="n">
        <f aca="false">ROUND(D12*(1-Assumptions!$B$9/4)+E11,0)</f>
        <v>0</v>
      </c>
      <c r="F12" s="31" t="n">
        <f aca="false">ROUND(E12*(1-Assumptions!$B$9/4)+F11,0)</f>
        <v>15</v>
      </c>
      <c r="G12" s="31" t="n">
        <f aca="false">ROUND(F12*(1-Assumptions!$B$9/4)+G11,0)</f>
        <v>27</v>
      </c>
      <c r="H12" s="31" t="n">
        <f aca="false">ROUND(G12*(1-Assumptions!$B$9/4)+H11,0)</f>
        <v>37</v>
      </c>
      <c r="I12" s="31" t="n">
        <f aca="false">ROUND(H12*(1-Assumptions!$B$9/4)+I11,0)</f>
        <v>44</v>
      </c>
      <c r="J12" s="31" t="n">
        <f aca="false">ROUND(I12*(1-Assumptions!$B$9/4)+J11,0)</f>
        <v>48</v>
      </c>
    </row>
    <row r="13" customFormat="false" ht="18" hidden="false" customHeight="true" outlineLevel="0" collapsed="false">
      <c r="A13" s="49" t="s">
        <v>120</v>
      </c>
      <c r="B13" s="20" t="s">
        <v>121</v>
      </c>
      <c r="C13" s="41" t="n">
        <f aca="false">ROUND(C12*Assumptions!$B$40,0)</f>
        <v>0</v>
      </c>
      <c r="D13" s="41" t="n">
        <f aca="false">ROUND(D12*Assumptions!$B$40,0)</f>
        <v>0</v>
      </c>
      <c r="E13" s="41" t="n">
        <f aca="false">ROUND(E12*Assumptions!$B$40,0)</f>
        <v>0</v>
      </c>
      <c r="F13" s="41" t="n">
        <f aca="false">ROUND(F12*Assumptions!$B$40,0)</f>
        <v>205500</v>
      </c>
      <c r="G13" s="41" t="n">
        <f aca="false">ROUND(G12*Assumptions!$B$40,0)</f>
        <v>369900</v>
      </c>
      <c r="H13" s="41" t="n">
        <f aca="false">ROUND(H12*Assumptions!$B$40,0)</f>
        <v>506900</v>
      </c>
      <c r="I13" s="41" t="n">
        <f aca="false">ROUND(I12*Assumptions!$B$40,0)</f>
        <v>602800</v>
      </c>
      <c r="J13" s="41" t="n">
        <f aca="false">ROUND(J12*Assumptions!$B$40,0)</f>
        <v>657600</v>
      </c>
    </row>
    <row r="15" customFormat="false" ht="19.5" hidden="false" customHeight="true" outlineLevel="0" collapsed="false">
      <c r="A15" s="51" t="s">
        <v>123</v>
      </c>
      <c r="B15" s="51"/>
      <c r="C15" s="51"/>
      <c r="D15" s="51"/>
      <c r="E15" s="51"/>
      <c r="F15" s="51"/>
      <c r="G15" s="51"/>
      <c r="H15" s="51"/>
      <c r="I15" s="51"/>
      <c r="J15" s="51"/>
      <c r="K15" s="51"/>
    </row>
    <row r="16" customFormat="false" ht="18" hidden="false" customHeight="true" outlineLevel="0" collapsed="false">
      <c r="A16" s="19" t="s">
        <v>117</v>
      </c>
      <c r="B16" s="6" t="s">
        <v>118</v>
      </c>
      <c r="C16" s="48" t="n">
        <v>0</v>
      </c>
      <c r="D16" s="48" t="n">
        <v>0</v>
      </c>
      <c r="E16" s="48" t="n">
        <v>0</v>
      </c>
      <c r="F16" s="48" t="n">
        <v>0</v>
      </c>
      <c r="G16" s="26" t="n">
        <v>10</v>
      </c>
      <c r="H16" s="26" t="n">
        <v>9</v>
      </c>
      <c r="I16" s="26" t="n">
        <v>8</v>
      </c>
      <c r="J16" s="26" t="n">
        <v>7</v>
      </c>
    </row>
    <row r="17" customFormat="false" ht="18" hidden="false" customHeight="true" outlineLevel="0" collapsed="false">
      <c r="A17" s="22" t="s">
        <v>119</v>
      </c>
      <c r="B17" s="10" t="s">
        <v>118</v>
      </c>
      <c r="C17" s="31" t="n">
        <f aca="false">ROUND(C16,0)</f>
        <v>0</v>
      </c>
      <c r="D17" s="31" t="n">
        <f aca="false">ROUND(C17*(1-Assumptions!$B$9/4)+D16,0)</f>
        <v>0</v>
      </c>
      <c r="E17" s="31" t="n">
        <f aca="false">ROUND(D17*(1-Assumptions!$B$9/4)+E16,0)</f>
        <v>0</v>
      </c>
      <c r="F17" s="31" t="n">
        <f aca="false">ROUND(E17*(1-Assumptions!$B$9/4)+F16,0)</f>
        <v>0</v>
      </c>
      <c r="G17" s="31" t="n">
        <f aca="false">ROUND(F17*(1-Assumptions!$B$9/4)+G16,0)</f>
        <v>10</v>
      </c>
      <c r="H17" s="31" t="n">
        <f aca="false">ROUND(G17*(1-Assumptions!$B$9/4)+H16,0)</f>
        <v>18</v>
      </c>
      <c r="I17" s="31" t="n">
        <f aca="false">ROUND(H17*(1-Assumptions!$B$9/4)+I16,0)</f>
        <v>24</v>
      </c>
      <c r="J17" s="31" t="n">
        <f aca="false">ROUND(I17*(1-Assumptions!$B$9/4)+J16,0)</f>
        <v>29</v>
      </c>
    </row>
    <row r="18" customFormat="false" ht="18" hidden="false" customHeight="true" outlineLevel="0" collapsed="false">
      <c r="A18" s="49" t="s">
        <v>120</v>
      </c>
      <c r="B18" s="20" t="s">
        <v>121</v>
      </c>
      <c r="C18" s="41" t="n">
        <f aca="false">ROUND(C17*Assumptions!$B$41,0)</f>
        <v>0</v>
      </c>
      <c r="D18" s="41" t="n">
        <f aca="false">ROUND(D17*Assumptions!$B$41,0)</f>
        <v>0</v>
      </c>
      <c r="E18" s="41" t="n">
        <f aca="false">ROUND(E17*Assumptions!$B$41,0)</f>
        <v>0</v>
      </c>
      <c r="F18" s="41" t="n">
        <f aca="false">ROUND(F17*Assumptions!$B$41,0)</f>
        <v>0</v>
      </c>
      <c r="G18" s="41" t="n">
        <f aca="false">ROUND(G17*Assumptions!$B$41,0)</f>
        <v>111000</v>
      </c>
      <c r="H18" s="41" t="n">
        <f aca="false">ROUND(H17*Assumptions!$B$41,0)</f>
        <v>199800</v>
      </c>
      <c r="I18" s="41" t="n">
        <f aca="false">ROUND(I17*Assumptions!$B$41,0)</f>
        <v>266400</v>
      </c>
      <c r="J18" s="41" t="n">
        <f aca="false">ROUND(J17*Assumptions!$B$41,0)</f>
        <v>321900</v>
      </c>
    </row>
    <row r="20" customFormat="false" ht="19.5" hidden="false" customHeight="true" outlineLevel="0" collapsed="false">
      <c r="A20" s="52" t="s">
        <v>124</v>
      </c>
      <c r="B20" s="52"/>
      <c r="C20" s="52"/>
      <c r="D20" s="52"/>
      <c r="E20" s="52"/>
      <c r="F20" s="52"/>
      <c r="G20" s="52"/>
      <c r="H20" s="52"/>
      <c r="I20" s="52"/>
      <c r="J20" s="52"/>
      <c r="K20" s="52"/>
    </row>
    <row r="21" customFormat="false" ht="18" hidden="false" customHeight="true" outlineLevel="0" collapsed="false">
      <c r="A21" s="19" t="s">
        <v>117</v>
      </c>
      <c r="B21" s="6" t="s">
        <v>118</v>
      </c>
      <c r="C21" s="48" t="n">
        <v>0</v>
      </c>
      <c r="D21" s="48" t="n">
        <v>0</v>
      </c>
      <c r="E21" s="48" t="n">
        <v>0</v>
      </c>
      <c r="F21" s="48" t="n">
        <v>0</v>
      </c>
      <c r="G21" s="48" t="n">
        <v>0</v>
      </c>
      <c r="H21" s="48" t="n">
        <v>0</v>
      </c>
      <c r="I21" s="26" t="n">
        <v>7</v>
      </c>
      <c r="J21" s="26" t="n">
        <v>6</v>
      </c>
    </row>
    <row r="22" customFormat="false" ht="18" hidden="false" customHeight="true" outlineLevel="0" collapsed="false">
      <c r="A22" s="22" t="s">
        <v>119</v>
      </c>
      <c r="B22" s="10" t="s">
        <v>118</v>
      </c>
      <c r="C22" s="31" t="n">
        <f aca="false">ROUND(C21,0)</f>
        <v>0</v>
      </c>
      <c r="D22" s="31" t="n">
        <f aca="false">ROUND(C22*(1-Assumptions!$B$9/4)+D21,0)</f>
        <v>0</v>
      </c>
      <c r="E22" s="31" t="n">
        <f aca="false">ROUND(D22*(1-Assumptions!$B$9/4)+E21,0)</f>
        <v>0</v>
      </c>
      <c r="F22" s="31" t="n">
        <f aca="false">ROUND(E22*(1-Assumptions!$B$9/4)+F21,0)</f>
        <v>0</v>
      </c>
      <c r="G22" s="31" t="n">
        <f aca="false">ROUND(F22*(1-Assumptions!$B$9/4)+G21,0)</f>
        <v>0</v>
      </c>
      <c r="H22" s="31" t="n">
        <f aca="false">ROUND(G22*(1-Assumptions!$B$9/4)+H21,0)</f>
        <v>0</v>
      </c>
      <c r="I22" s="31" t="n">
        <f aca="false">ROUND(H22*(1-Assumptions!$B$9/4)+I21,0)</f>
        <v>7</v>
      </c>
      <c r="J22" s="31" t="n">
        <f aca="false">ROUND(I22*(1-Assumptions!$B$9/4)+J21,0)</f>
        <v>12</v>
      </c>
    </row>
    <row r="23" customFormat="false" ht="18" hidden="false" customHeight="true" outlineLevel="0" collapsed="false">
      <c r="A23" s="49" t="s">
        <v>120</v>
      </c>
      <c r="B23" s="20" t="s">
        <v>121</v>
      </c>
      <c r="C23" s="41" t="n">
        <f aca="false">ROUND(C22*Assumptions!$B$42,0)</f>
        <v>0</v>
      </c>
      <c r="D23" s="41" t="n">
        <f aca="false">ROUND(D22*Assumptions!$B$42,0)</f>
        <v>0</v>
      </c>
      <c r="E23" s="41" t="n">
        <f aca="false">ROUND(E22*Assumptions!$B$42,0)</f>
        <v>0</v>
      </c>
      <c r="F23" s="41" t="n">
        <f aca="false">ROUND(F22*Assumptions!$B$42,0)</f>
        <v>0</v>
      </c>
      <c r="G23" s="41" t="n">
        <f aca="false">ROUND(G22*Assumptions!$B$42,0)</f>
        <v>0</v>
      </c>
      <c r="H23" s="41" t="n">
        <f aca="false">ROUND(H22*Assumptions!$B$42,0)</f>
        <v>0</v>
      </c>
      <c r="I23" s="41" t="n">
        <f aca="false">ROUND(I22*Assumptions!$B$42,0)</f>
        <v>95200</v>
      </c>
      <c r="J23" s="41" t="n">
        <f aca="false">ROUND(J22*Assumptions!$B$42,0)</f>
        <v>163200</v>
      </c>
    </row>
    <row r="25" customFormat="false" ht="19.5" hidden="false" customHeight="true" outlineLevel="0" collapsed="false">
      <c r="A25" s="53" t="s">
        <v>125</v>
      </c>
      <c r="B25" s="53"/>
      <c r="C25" s="53"/>
      <c r="D25" s="53"/>
      <c r="E25" s="53"/>
      <c r="F25" s="53"/>
      <c r="G25" s="53"/>
      <c r="H25" s="53"/>
      <c r="I25" s="53"/>
      <c r="J25" s="53"/>
      <c r="K25" s="53"/>
    </row>
    <row r="26" customFormat="false" ht="18" hidden="false" customHeight="true" outlineLevel="0" collapsed="false">
      <c r="A26" s="19" t="s">
        <v>117</v>
      </c>
      <c r="B26" s="6" t="s">
        <v>118</v>
      </c>
      <c r="C26" s="48" t="n">
        <v>0</v>
      </c>
      <c r="D26" s="48" t="n">
        <v>0</v>
      </c>
      <c r="E26" s="48" t="n">
        <v>0</v>
      </c>
      <c r="F26" s="48" t="n">
        <v>0</v>
      </c>
      <c r="G26" s="48" t="n">
        <v>0</v>
      </c>
      <c r="H26" s="48" t="n">
        <v>0</v>
      </c>
      <c r="I26" s="48" t="n">
        <v>0</v>
      </c>
      <c r="J26" s="26" t="n">
        <v>7</v>
      </c>
    </row>
    <row r="27" customFormat="false" ht="18" hidden="false" customHeight="true" outlineLevel="0" collapsed="false">
      <c r="A27" s="22" t="s">
        <v>119</v>
      </c>
      <c r="B27" s="10" t="s">
        <v>118</v>
      </c>
      <c r="C27" s="31" t="n">
        <f aca="false">ROUND(C26,0)</f>
        <v>0</v>
      </c>
      <c r="D27" s="31" t="n">
        <f aca="false">ROUND(C27*(1-Assumptions!$B$9/4)+D26,0)</f>
        <v>0</v>
      </c>
      <c r="E27" s="31" t="n">
        <f aca="false">ROUND(D27*(1-Assumptions!$B$9/4)+E26,0)</f>
        <v>0</v>
      </c>
      <c r="F27" s="31" t="n">
        <f aca="false">ROUND(E27*(1-Assumptions!$B$9/4)+F26,0)</f>
        <v>0</v>
      </c>
      <c r="G27" s="31" t="n">
        <f aca="false">ROUND(F27*(1-Assumptions!$B$9/4)+G26,0)</f>
        <v>0</v>
      </c>
      <c r="H27" s="31" t="n">
        <f aca="false">ROUND(G27*(1-Assumptions!$B$9/4)+H26,0)</f>
        <v>0</v>
      </c>
      <c r="I27" s="31" t="n">
        <f aca="false">ROUND(H27*(1-Assumptions!$B$9/4)+I26,0)</f>
        <v>0</v>
      </c>
      <c r="J27" s="31" t="n">
        <f aca="false">ROUND(I27*(1-Assumptions!$B$9/4)+J26,0)</f>
        <v>7</v>
      </c>
    </row>
    <row r="28" customFormat="false" ht="18" hidden="false" customHeight="true" outlineLevel="0" collapsed="false">
      <c r="A28" s="49" t="s">
        <v>120</v>
      </c>
      <c r="B28" s="20" t="s">
        <v>121</v>
      </c>
      <c r="C28" s="41" t="n">
        <f aca="false">ROUND(C27*Assumptions!$B$43,0)</f>
        <v>0</v>
      </c>
      <c r="D28" s="41" t="n">
        <f aca="false">ROUND(D27*Assumptions!$B$43,0)</f>
        <v>0</v>
      </c>
      <c r="E28" s="41" t="n">
        <f aca="false">ROUND(E27*Assumptions!$B$43,0)</f>
        <v>0</v>
      </c>
      <c r="F28" s="41" t="n">
        <f aca="false">ROUND(F27*Assumptions!$B$43,0)</f>
        <v>0</v>
      </c>
      <c r="G28" s="41" t="n">
        <f aca="false">ROUND(G27*Assumptions!$B$43,0)</f>
        <v>0</v>
      </c>
      <c r="H28" s="41" t="n">
        <f aca="false">ROUND(H27*Assumptions!$B$43,0)</f>
        <v>0</v>
      </c>
      <c r="I28" s="41" t="n">
        <f aca="false">ROUND(I27*Assumptions!$B$43,0)</f>
        <v>0</v>
      </c>
      <c r="J28" s="41" t="n">
        <f aca="false">ROUND(J27*Assumptions!$B$43,0)</f>
        <v>117600</v>
      </c>
    </row>
    <row r="30" customFormat="false" ht="21.75" hidden="false" customHeight="true" outlineLevel="0" collapsed="false">
      <c r="A30" s="54" t="s">
        <v>126</v>
      </c>
      <c r="B30" s="54"/>
      <c r="C30" s="54"/>
      <c r="D30" s="54"/>
      <c r="E30" s="54"/>
      <c r="F30" s="54"/>
      <c r="G30" s="54"/>
      <c r="H30" s="54"/>
      <c r="I30" s="54"/>
      <c r="J30" s="54"/>
      <c r="K30" s="54"/>
    </row>
    <row r="31" customFormat="false" ht="18" hidden="false" customHeight="true" outlineLevel="0" collapsed="false">
      <c r="A31" s="55" t="s">
        <v>127</v>
      </c>
      <c r="B31" s="56" t="s">
        <v>118</v>
      </c>
      <c r="C31" s="57" t="n">
        <f aca="false">C7+C12+C17+C22+C27</f>
        <v>0</v>
      </c>
      <c r="D31" s="57" t="n">
        <f aca="false">D7+D12+D17+D22+D27</f>
        <v>0</v>
      </c>
      <c r="E31" s="57" t="n">
        <f aca="false">E7+E12+E17+E22+E27</f>
        <v>12</v>
      </c>
      <c r="F31" s="57" t="n">
        <f aca="false">F7+F12+F17+F22+F27</f>
        <v>36</v>
      </c>
      <c r="G31" s="57" t="n">
        <f aca="false">G7+G12+G17+G22+G27</f>
        <v>66</v>
      </c>
      <c r="H31" s="57" t="n">
        <f aca="false">H7+H12+H17+H22+H27</f>
        <v>89</v>
      </c>
      <c r="I31" s="57" t="n">
        <f aca="false">I7+I12+I17+I22+I27</f>
        <v>113</v>
      </c>
      <c r="J31" s="57" t="n">
        <f aca="false">J7+J12+J17+J22+J27</f>
        <v>137</v>
      </c>
    </row>
    <row r="32" customFormat="false" ht="21.75" hidden="false" customHeight="true" outlineLevel="0" collapsed="false">
      <c r="A32" s="58" t="s">
        <v>128</v>
      </c>
      <c r="B32" s="4" t="s">
        <v>121</v>
      </c>
      <c r="C32" s="59" t="n">
        <f aca="false">C8+C13+C18+C23+C28</f>
        <v>0</v>
      </c>
      <c r="D32" s="59" t="n">
        <f aca="false">D8+D13+D18+D23+D28</f>
        <v>0</v>
      </c>
      <c r="E32" s="59" t="n">
        <f aca="false">E8+E13+E18+E23+E28</f>
        <v>116400</v>
      </c>
      <c r="F32" s="59" t="n">
        <f aca="false">F8+F13+F18+F23+F28</f>
        <v>409200</v>
      </c>
      <c r="G32" s="59" t="n">
        <f aca="false">G8+G13+G18+G23+G28</f>
        <v>762200</v>
      </c>
      <c r="H32" s="59" t="n">
        <f aca="false">H8+H13+H18+H23+H28</f>
        <v>1036500</v>
      </c>
      <c r="I32" s="59" t="n">
        <f aca="false">I8+I13+I18+I23+I28</f>
        <v>1333000</v>
      </c>
      <c r="J32" s="59" t="n">
        <f aca="false">J8+J13+J18+J23+J28</f>
        <v>1658000</v>
      </c>
    </row>
    <row r="33" customFormat="false" ht="18" hidden="false" customHeight="true" outlineLevel="0" collapsed="false">
      <c r="A33" s="60" t="s">
        <v>129</v>
      </c>
      <c r="B33" s="61" t="s">
        <v>130</v>
      </c>
      <c r="C33" s="62" t="s">
        <v>131</v>
      </c>
      <c r="D33" s="62" t="str">
        <f aca="false">IF(C32=0,"-",(D32-C32)/C32)</f>
        <v>-</v>
      </c>
      <c r="E33" s="62" t="str">
        <f aca="false">IF(D32=0,"-",(E32-D32)/D32)</f>
        <v>-</v>
      </c>
      <c r="F33" s="62" t="n">
        <f aca="false">IF(E32=0,"-",(F32-E32)/E32)</f>
        <v>2.51546391752577</v>
      </c>
      <c r="G33" s="62" t="n">
        <f aca="false">IF(F32=0,"-",(G32-F32)/F32)</f>
        <v>0.862658846529814</v>
      </c>
      <c r="H33" s="62" t="n">
        <f aca="false">IF(G32=0,"-",(H32-G32)/G32)</f>
        <v>0.359879296772501</v>
      </c>
      <c r="I33" s="62" t="n">
        <f aca="false">IF(H32=0,"-",(I32-H32)/H32)</f>
        <v>0.286058851905451</v>
      </c>
      <c r="J33" s="62" t="n">
        <f aca="false">IF(I32=0,"-",(J32-I32)/I32)</f>
        <v>0.243810952738185</v>
      </c>
    </row>
    <row r="34" customFormat="false" ht="18" hidden="false" customHeight="true" outlineLevel="0" collapsed="false">
      <c r="A34" s="63" t="s">
        <v>132</v>
      </c>
      <c r="B34" s="14" t="s">
        <v>133</v>
      </c>
      <c r="C34" s="14" t="str">
        <f aca="false">IF(C32&gt;=1000000,"✓ $1M","—")</f>
        <v>—</v>
      </c>
      <c r="D34" s="14" t="str">
        <f aca="false">IF(D32&gt;=1000000,"✓ $1M","—")</f>
        <v>—</v>
      </c>
      <c r="E34" s="14" t="str">
        <f aca="false">IF(E32&gt;=1000000,"✓ $1M","—")</f>
        <v>—</v>
      </c>
      <c r="F34" s="14" t="str">
        <f aca="false">IF(F32&gt;=1000000,"✓ $1M","—")</f>
        <v>—</v>
      </c>
      <c r="G34" s="14" t="str">
        <f aca="false">IF(G32&gt;=1000000,"✓ $1M","—")</f>
        <v>—</v>
      </c>
      <c r="H34" s="14" t="str">
        <f aca="false">IF(H32&gt;=1000000,"✓ $1M","—")</f>
        <v>✓ $1M</v>
      </c>
      <c r="I34" s="14" t="str">
        <f aca="false">IF(I32&gt;=1000000,"✓ $1M","—")</f>
        <v>✓ $1M</v>
      </c>
      <c r="J34" s="14" t="str">
        <f aca="false">IF(J32&gt;=1000000,"✓ $1M","—")</f>
        <v>✓ $1M</v>
      </c>
    </row>
  </sheetData>
  <mergeCells count="8">
    <mergeCell ref="A1:K1"/>
    <mergeCell ref="A2:K2"/>
    <mergeCell ref="A5:K5"/>
    <mergeCell ref="A10:K10"/>
    <mergeCell ref="A15:K15"/>
    <mergeCell ref="A20:K20"/>
    <mergeCell ref="A25:K25"/>
    <mergeCell ref="A30:K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LibreOffice/25.2.6.2$Linux_AARCH64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2026-04-03T16:32:47Z</dcterms:created>
  <dc:creator>openpyxl</dc:creator>
  <dc:description/>
  <dc:language>en-US</dc:language>
  <cp:lastModifiedBy/>
  <dcterms:modified xsi:type="dcterms:W3CDTF">2026-04-03T16:32:47Z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